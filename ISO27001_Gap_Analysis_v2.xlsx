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Assumptions &amp; Scop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Gap Analysis" sheetId="4" state="visible" r:id="rId4"/>
    <sheet xmlns:r="http://schemas.openxmlformats.org/officeDocument/2006/relationships" name="Remediation Roadmap" sheetId="5" state="visible" r:id="rId5"/>
    <sheet xmlns:r="http://schemas.openxmlformats.org/officeDocument/2006/relationships" name="How to Use" sheetId="6" state="visible" r:id="rId6"/>
  </sheets>
  <definedNames>
    <definedName name="_xlnm._FilterDatabase" localSheetId="3" hidden="1">'Gap Analysis'!$A$3:$J$58</definedName>
    <definedName name="_xlnm._FilterDatabase" localSheetId="4" hidden="1">'Remediation Roadmap'!$A$3:$G$31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AABDD6"/>
      <sz val="11"/>
    </font>
    <font>
      <name val="Arial"/>
      <b val="1"/>
      <color rgb="00FFFFFF"/>
      <sz val="10"/>
    </font>
    <font>
      <name val="Arial"/>
      <color rgb="001F2D3D"/>
      <sz val="10"/>
    </font>
    <font>
      <name val="Arial"/>
      <i val="1"/>
      <color rgb="007F8C8D"/>
      <sz val="9"/>
    </font>
    <font>
      <name val="Arial"/>
      <b val="1"/>
      <color rgb="00FFFFFF"/>
      <sz val="14"/>
    </font>
    <font>
      <name val="Arial"/>
      <i val="1"/>
      <color rgb="00AABDD6"/>
      <sz val="9"/>
    </font>
    <font>
      <name val="Arial"/>
      <b val="1"/>
      <color rgb="001F2D3D"/>
      <sz val="10"/>
    </font>
    <font>
      <name val="Arial"/>
      <color rgb="003A7BD5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F2D3D"/>
      <sz val="9"/>
    </font>
    <font>
      <name val="Arial"/>
      <color rgb="007F8C8D"/>
      <sz val="9"/>
    </font>
    <font>
      <name val="Arial"/>
      <b val="1"/>
      <color rgb="00FFFFFF"/>
      <sz val="13"/>
    </font>
    <font>
      <name val="Arial"/>
      <b val="1"/>
      <color rgb="001F2D3D"/>
      <sz val="9"/>
    </font>
    <font>
      <name val="Arial"/>
      <i val="1"/>
      <color rgb="007D6608"/>
      <sz val="9"/>
    </font>
  </fonts>
  <fills count="17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2E4A6B"/>
      </patternFill>
    </fill>
    <fill>
      <patternFill patternType="solid">
        <fgColor rgb="00EEF4FC"/>
      </patternFill>
    </fill>
    <fill>
      <patternFill patternType="solid">
        <fgColor rgb="003A7BD5"/>
      </patternFill>
    </fill>
    <fill>
      <patternFill patternType="solid">
        <fgColor rgb="00FFFFFF"/>
      </patternFill>
    </fill>
    <fill>
      <patternFill patternType="solid">
        <fgColor rgb="00FFF9E6"/>
      </patternFill>
    </fill>
    <fill>
      <patternFill patternType="solid">
        <fgColor rgb="00D6E4F7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F39C12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7F9FC"/>
      </patternFill>
    </fill>
    <fill>
      <patternFill patternType="solid">
        <fgColor rgb="00F0F0F0"/>
      </patternFill>
    </fill>
    <fill>
      <patternFill patternType="solid">
        <fgColor rgb="00FFF3CD"/>
      </patternFill>
    </fill>
  </fills>
  <borders count="11">
    <border>
      <left/>
      <right/>
      <top/>
      <bottom/>
      <diagonal/>
    </border>
    <border>
      <left style="thin">
        <color rgb="00C0C8D4"/>
      </left>
      <right style="thin">
        <color rgb="00C0C8D4"/>
      </right>
      <top style="thin">
        <color rgb="00C0C8D4"/>
      </top>
      <bottom style="thin">
        <color rgb="00C0C8D4"/>
      </bottom>
    </border>
    <border>
      <left/>
      <right/>
      <top style="thin">
        <color rgb="00C0C8D4"/>
      </top>
      <bottom/>
      <diagonal/>
    </border>
    <border>
      <left/>
      <right style="thin">
        <color rgb="00C0C8D4"/>
      </right>
      <top style="thin">
        <color rgb="00C0C8D4"/>
      </top>
      <bottom/>
      <diagonal/>
    </border>
    <border>
      <left/>
      <right style="thin">
        <color rgb="00C0C8D4"/>
      </right>
      <top style="thin">
        <color rgb="00C0C8D4"/>
      </top>
      <bottom style="thin">
        <color rgb="00C0C8D4"/>
      </bottom>
      <diagonal/>
    </border>
    <border>
      <left/>
      <right/>
      <top style="thin">
        <color rgb="00C0C8D4"/>
      </top>
      <bottom style="thin">
        <color rgb="00C0C8D4"/>
      </bottom>
      <diagonal/>
    </border>
    <border>
      <left style="thin">
        <color rgb="00C0C8D4"/>
      </left>
      <right/>
      <top/>
      <bottom/>
      <diagonal/>
    </border>
    <border>
      <left/>
      <right style="thin">
        <color rgb="00C0C8D4"/>
      </right>
      <top/>
      <bottom/>
      <diagonal/>
    </border>
    <border>
      <left style="thin">
        <color rgb="00C0C8D4"/>
      </left>
      <right/>
      <top/>
      <bottom style="thin">
        <color rgb="00C0C8D4"/>
      </bottom>
      <diagonal/>
    </border>
    <border>
      <left/>
      <right/>
      <top/>
      <bottom style="thin">
        <color rgb="00C0C8D4"/>
      </bottom>
      <diagonal/>
    </border>
    <border>
      <left/>
      <right style="thin">
        <color rgb="00C0C8D4"/>
      </right>
      <top/>
      <bottom style="thin">
        <color rgb="00C0C8D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wrapText="1" indent="1"/>
    </xf>
    <xf numFmtId="0" fontId="3" fillId="5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left" vertical="center" wrapText="1" indent="1"/>
    </xf>
    <xf numFmtId="0" fontId="5" fillId="7" borderId="1" applyAlignment="1" pivotButton="0" quotePrefix="0" xfId="0">
      <alignment horizontal="left" vertical="center" wrapText="1" indent="1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 indent="1"/>
    </xf>
    <xf numFmtId="0" fontId="12" fillId="4" borderId="1" applyAlignment="1" pivotButton="0" quotePrefix="0" xfId="0">
      <alignment horizontal="left" vertical="center" wrapText="1" indent="1"/>
    </xf>
    <xf numFmtId="0" fontId="11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5" fillId="8" borderId="1" applyAlignment="1" pivotButton="0" quotePrefix="0" xfId="0">
      <alignment horizontal="left" vertical="center" wrapText="1" indent="1"/>
    </xf>
    <xf numFmtId="0" fontId="15" fillId="8" borderId="1" applyAlignment="1" pivotButton="0" quotePrefix="0" xfId="0">
      <alignment horizontal="left" vertical="top" wrapText="1" indent="1"/>
    </xf>
    <xf numFmtId="0" fontId="12" fillId="6" borderId="1" applyAlignment="1" pivotButton="0" quotePrefix="0" xfId="0">
      <alignment horizontal="left" vertical="top" wrapText="1" indent="1"/>
    </xf>
    <xf numFmtId="0" fontId="12" fillId="4" borderId="1" applyAlignment="1" pivotButton="0" quotePrefix="0" xfId="0">
      <alignment horizontal="left" vertical="top" wrapText="1" indent="1"/>
    </xf>
    <xf numFmtId="0" fontId="16" fillId="16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50" customHeight="1">
      <c r="A1" s="1" t="inlineStr">
        <is>
          <t>ISO 27001:2022 GAP ANALYSIS REPORT</t>
        </is>
      </c>
    </row>
    <row r="2" ht="24" customHeight="1">
      <c r="A2" s="2" t="inlineStr">
        <is>
          <t>Information Security Management System (ISMS)</t>
        </is>
      </c>
    </row>
    <row r="4" ht="36" customHeight="1">
      <c r="A4" s="3" t="inlineStr">
        <is>
          <t>Organisation</t>
        </is>
      </c>
      <c r="B4" s="33" t="n"/>
      <c r="C4" s="4" t="inlineStr">
        <is>
          <t>TechCorp Solutions Ltd (Fictional)</t>
        </is>
      </c>
      <c r="D4" s="34" t="n"/>
      <c r="E4" s="33" t="n"/>
    </row>
    <row r="5" ht="36" customHeight="1">
      <c r="A5" s="5" t="inlineStr">
        <is>
          <t>Industry</t>
        </is>
      </c>
      <c r="B5" s="33" t="n"/>
      <c r="C5" s="6" t="inlineStr">
        <is>
          <t>Technology / SaaS</t>
        </is>
      </c>
      <c r="D5" s="34" t="n"/>
      <c r="E5" s="33" t="n"/>
    </row>
    <row r="6" ht="36" customHeight="1">
      <c r="A6" s="3" t="inlineStr">
        <is>
          <t>Scope</t>
        </is>
      </c>
      <c r="B6" s="33" t="n"/>
      <c r="C6" s="4" t="inlineStr">
        <is>
          <t>Information security controls across IT infrastructure, cloud systems, and AI-powered applications</t>
        </is>
      </c>
      <c r="D6" s="34" t="n"/>
      <c r="E6" s="33" t="n"/>
    </row>
    <row r="7" ht="36" customHeight="1">
      <c r="A7" s="5" t="inlineStr">
        <is>
          <t>Assessment Date</t>
        </is>
      </c>
      <c r="B7" s="33" t="n"/>
      <c r="C7" s="6" t="inlineStr">
        <is>
          <t>June 2026</t>
        </is>
      </c>
      <c r="D7" s="34" t="n"/>
      <c r="E7" s="33" t="n"/>
    </row>
    <row r="8" ht="36" customHeight="1">
      <c r="A8" s="3" t="inlineStr">
        <is>
          <t>Standard</t>
        </is>
      </c>
      <c r="B8" s="33" t="n"/>
      <c r="C8" s="4" t="inlineStr">
        <is>
          <t>ISO/IEC 27001:2022</t>
        </is>
      </c>
      <c r="D8" s="34" t="n"/>
      <c r="E8" s="33" t="n"/>
    </row>
    <row r="9" ht="36" customHeight="1">
      <c r="A9" s="5" t="inlineStr">
        <is>
          <t>Assessor</t>
        </is>
      </c>
      <c r="B9" s="33" t="n"/>
      <c r="C9" s="6" t="inlineStr">
        <is>
          <t>Dhanya Mary Sam — GRC &amp; AI Governance Specialist</t>
        </is>
      </c>
      <c r="D9" s="34" t="n"/>
      <c r="E9" s="33" t="n"/>
    </row>
    <row r="10" ht="36" customHeight="1">
      <c r="A10" s="3" t="inlineStr">
        <is>
          <t>Version</t>
        </is>
      </c>
      <c r="B10" s="33" t="n"/>
      <c r="C10" s="4" t="inlineStr">
        <is>
          <t>1.0</t>
        </is>
      </c>
      <c r="D10" s="34" t="n"/>
      <c r="E10" s="33" t="n"/>
    </row>
    <row r="11" ht="36" customHeight="1">
      <c r="A11" s="5" t="inlineStr">
        <is>
          <t>Status</t>
        </is>
      </c>
      <c r="B11" s="33" t="n"/>
      <c r="C11" s="6" t="inlineStr">
        <is>
          <t>DRAFT — Portfolio Project</t>
        </is>
      </c>
      <c r="D11" s="34" t="n"/>
      <c r="E11" s="33" t="n"/>
    </row>
    <row r="13" ht="10" customHeight="1"/>
    <row r="14" ht="50" customHeight="1">
      <c r="A14" s="7" t="inlineStr">
        <is>
          <t>⚠️  DISCLAIMER: This gap analysis was conducted against a fictional organisation for portfolio and educational purposes. All findings, scores, and recommendations are illustrative and do not represent a real organisation's security posture.</t>
        </is>
      </c>
      <c r="B14" s="35" t="n"/>
      <c r="C14" s="35" t="n"/>
      <c r="D14" s="35" t="n"/>
      <c r="E14" s="36" t="n"/>
    </row>
    <row r="15">
      <c r="A15" s="37" t="n"/>
      <c r="E15" s="38" t="n"/>
    </row>
    <row r="16">
      <c r="A16" s="39" t="n"/>
      <c r="B16" s="40" t="n"/>
      <c r="C16" s="40" t="n"/>
      <c r="D16" s="40" t="n"/>
      <c r="E16" s="41" t="n"/>
    </row>
  </sheetData>
  <mergeCells count="19">
    <mergeCell ref="A11:B11"/>
    <mergeCell ref="C9:E9"/>
    <mergeCell ref="A1:E1"/>
    <mergeCell ref="A6:B6"/>
    <mergeCell ref="C11:E11"/>
    <mergeCell ref="A7:B7"/>
    <mergeCell ref="C8:E8"/>
    <mergeCell ref="C7:E7"/>
    <mergeCell ref="A2:E2"/>
    <mergeCell ref="A5:B5"/>
    <mergeCell ref="A8:B8"/>
    <mergeCell ref="C6:E6"/>
    <mergeCell ref="A4:B4"/>
    <mergeCell ref="C5:E5"/>
    <mergeCell ref="A10:B10"/>
    <mergeCell ref="A14:E16"/>
    <mergeCell ref="C4:E4"/>
    <mergeCell ref="A9:B9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42" customHeight="1">
      <c r="A1" s="8" t="inlineStr">
        <is>
          <t>Assumptions &amp; Scope</t>
        </is>
      </c>
    </row>
    <row r="2" ht="18" customHeight="1">
      <c r="A2" s="9" t="inlineStr">
        <is>
          <t>ISO/IEC 27001:2022 Gap Analysis  |  TechCorp Solutions Ltd (Fictional)</t>
        </is>
      </c>
    </row>
    <row r="4" ht="28" customHeight="1">
      <c r="A4" s="3" t="inlineStr">
        <is>
          <t>1.  Organisation Profile</t>
        </is>
      </c>
    </row>
    <row r="5" ht="38" customHeight="1">
      <c r="A5" s="42" t="inlineStr">
        <is>
          <t>Organisation Name</t>
        </is>
      </c>
      <c r="B5" s="14" t="inlineStr">
        <is>
          <t>TechCorp Solutions Ltd (Fictional)</t>
        </is>
      </c>
    </row>
    <row r="6" ht="38" customHeight="1">
      <c r="A6" s="42" t="inlineStr">
        <is>
          <t>Industry</t>
        </is>
      </c>
      <c r="B6" s="15" t="inlineStr">
        <is>
          <t>Technology / Software as a Service (SaaS)</t>
        </is>
      </c>
    </row>
    <row r="7" ht="38" customHeight="1">
      <c r="A7" s="42" t="inlineStr">
        <is>
          <t>Organisation Size</t>
        </is>
      </c>
      <c r="B7" s="14" t="inlineStr">
        <is>
          <t>Approximately 500 employees across 3 office locations (Toronto, London, Singapore)</t>
        </is>
      </c>
    </row>
    <row r="8" ht="38" customHeight="1">
      <c r="A8" s="42" t="inlineStr">
        <is>
          <t>Annual Revenue</t>
        </is>
      </c>
      <c r="B8" s="15" t="inlineStr">
        <is>
          <t>~CAD $40M (simulated)</t>
        </is>
      </c>
    </row>
    <row r="9" ht="38" customHeight="1">
      <c r="A9" s="42" t="inlineStr">
        <is>
          <t>Assessment Date</t>
        </is>
      </c>
      <c r="B9" s="14" t="inlineStr">
        <is>
          <t>June 2026</t>
        </is>
      </c>
    </row>
    <row r="10" ht="38" customHeight="1">
      <c r="A10" s="42" t="inlineStr">
        <is>
          <t>Standard</t>
        </is>
      </c>
      <c r="B10" s="15" t="inlineStr">
        <is>
          <t>ISO/IEC 27001:2022 (Third edition)</t>
        </is>
      </c>
    </row>
    <row r="11" ht="38" customHeight="1">
      <c r="A11" s="42" t="inlineStr">
        <is>
          <t>Assessor</t>
        </is>
      </c>
      <c r="B11" s="14" t="inlineStr">
        <is>
          <t>Dhanya Mary Sam — GRC &amp; AI Governance Specialist</t>
        </is>
      </c>
    </row>
    <row r="12" ht="38" customHeight="1">
      <c r="A12" s="42" t="inlineStr">
        <is>
          <t>Assessment Type</t>
        </is>
      </c>
      <c r="B12" s="15" t="inlineStr">
        <is>
          <t>Initial Gap Analysis (Pre-certification readiness assessment)</t>
        </is>
      </c>
    </row>
    <row r="14" ht="10" customHeight="1"/>
    <row r="15" ht="28" customHeight="1">
      <c r="A15" s="3" t="inlineStr">
        <is>
          <t>2.  Assessment Scope</t>
        </is>
      </c>
    </row>
    <row r="16" ht="140" customHeight="1">
      <c r="A16" s="43" t="inlineStr">
        <is>
          <t>Systems &amp; Infrastructure in Scope</t>
        </is>
      </c>
      <c r="B16" s="44" t="inlineStr">
        <is>
          <t>•  Cloud infrastructure — AWS (primary), Microsoft Azure (secondary), Microsoft 365
•  On-premise server room — Toronto HQ (20 physical servers)
•  Corporate endpoints — 520 managed laptops and mobile devices
•  Customer-facing SaaS platform — web application and REST API
•  AI-powered applications — internal LLM chatbot, HR screening tool, fraud detection model
•  Corporate network — firewalls, VPN, Wi-Fi infrastructure
•  Third-party integrations — Salesforce CRM, Workday HR, Stripe payments</t>
        </is>
      </c>
    </row>
    <row r="17" ht="100" customHeight="1">
      <c r="A17" s="43" t="inlineStr">
        <is>
          <t>Data Types in Scope</t>
        </is>
      </c>
      <c r="B17" s="45" t="inlineStr">
        <is>
          <t>•  Customer personal data (PII) — names, emails, payment information
•  Employee personal data — HR records, payroll data, performance reviews
•  Intellectual property — source code, product roadmap, proprietary algorithms
•  AI training datasets — historical customer interaction data, HR data
•  Financial data — revenue records, invoices, banking information</t>
        </is>
      </c>
    </row>
    <row r="18" ht="60" customHeight="1">
      <c r="A18" s="43" t="inlineStr">
        <is>
          <t>Explicitly Out of Scope</t>
        </is>
      </c>
      <c r="B18" s="44" t="inlineStr">
        <is>
          <t>•  Physical security of Singapore and London offices (assessed separately)
•  Personal devices not enrolled in MDM programme
•  Subsidiary companies not yet integrated into corporate IT environment</t>
        </is>
      </c>
    </row>
    <row r="20" ht="10" customHeight="1"/>
    <row r="21" ht="28" customHeight="1">
      <c r="A21" s="3" t="inlineStr">
        <is>
          <t>3.  Assessment Assumptions</t>
        </is>
      </c>
    </row>
    <row r="22" ht="120" customHeight="1">
      <c r="A22" s="43" t="inlineStr">
        <is>
          <t>Organisational Assumptions</t>
        </is>
      </c>
      <c r="B22" s="45" t="inlineStr">
        <is>
          <t>•  No formal Information Security Management System (ISMS) currently implemented
•  No ISO 27001 certification has previously been attempted
•  Organisation is cloud-first — majority of systems hosted in AWS and Azure
•  AI systems are actively deployed in production without formal AI governance framework
•  Board and senior management have expressed intent to pursue ISO 27001 certification within 18 months
•  Dedicated CISO role exists but team is small (3 people including CISO)</t>
        </is>
      </c>
    </row>
    <row r="23" ht="120" customHeight="1">
      <c r="A23" s="43" t="inlineStr">
        <is>
          <t>Technical Assumptions</t>
        </is>
      </c>
      <c r="B23" s="44" t="inlineStr">
        <is>
          <t>•  Microsoft 365 is the primary productivity and collaboration platform
•  No Security Information and Event Management (SIEM) solution currently deployed
•  No Privileged Access Management (PAM) solution in place
•  No Data Loss Prevention (DLP) solution deployed
•  Patch management process exists but SLA compliance for critical patches is inconsistent
•  Multi-factor authentication (MFA) deployed on cloud admin portals but not all internal systems</t>
        </is>
      </c>
    </row>
    <row r="24" ht="120" customHeight="1">
      <c r="A24" s="43" t="inlineStr">
        <is>
          <t>AI-Specific Assumptions</t>
        </is>
      </c>
      <c r="B24" s="45" t="inlineStr">
        <is>
          <t>•  Three AI systems are in production: internal LLM chatbot, HR candidate screening tool, fraud detection model
•  No AI governance policy or framework currently in place
•  AI training datasets stored in AWS S3 without dataset-level access controls
•  No model documentation (model cards) exists for any production AI system
•  Employees are using external AI tools (ChatGPT, GitHub Copilot) without formal guidance
•  No AI-specific incident response procedures have been defined</t>
        </is>
      </c>
    </row>
    <row r="26" ht="10" customHeight="1"/>
    <row r="27" ht="28" customHeight="1">
      <c r="A27" s="3" t="inlineStr">
        <is>
          <t>4.  Assessment Methodology</t>
        </is>
      </c>
    </row>
    <row r="28" ht="100" customHeight="1">
      <c r="A28" s="43" t="inlineStr">
        <is>
          <t>Assessment Methods Used</t>
        </is>
      </c>
      <c r="B28" s="44" t="inlineStr">
        <is>
          <t>•  Simulated stakeholder interviews — CISO, IT Manager, HR Director, Legal Counsel, Cloud Architect
•  Document review — policies, procedures, contracts, configuration records
•  Technical observation — system configurations, access control settings, logging setup
•  Evidence sampling — audit logs, training completion records, patch compliance reports
•  Workshop facilitation — risk identification session with IT and business leads</t>
        </is>
      </c>
    </row>
    <row r="29" ht="80" customHeight="1">
      <c r="A29" s="43" t="inlineStr">
        <is>
          <t>Compliance Scoring Criteria</t>
        </is>
      </c>
      <c r="B29" s="45" t="inlineStr">
        <is>
          <t>•  Compliant — control fully implemented, operating effectively, with documented evidence
•  Partial — control exists but has significant gaps in implementation, documentation, or effectiveness
•  Non-Compliant — control is absent, severely deficient, or no evidence exists of implementation
•  Not Applicable — control is not relevant to the organisation's context or scope</t>
        </is>
      </c>
    </row>
    <row r="30" ht="80" customHeight="1">
      <c r="A30" s="43" t="inlineStr">
        <is>
          <t>Priority Scoring Rationale</t>
        </is>
      </c>
      <c r="B30" s="44" t="inlineStr">
        <is>
          <t>•  Critical — fundamental ISMS requirement; absence creates immediate certification blocker or significant risk
•  High — significant risk exposure or important ISO 27001 requirement; address within 1-3 months
•  Medium — important improvement; moderate risk; address within 3-6 months
•  Low — best practice improvement; low risk; address within 6-12 months</t>
        </is>
      </c>
    </row>
    <row r="32" ht="10" customHeight="1"/>
    <row r="33" ht="28" customHeight="1">
      <c r="A33" s="3" t="inlineStr">
        <is>
          <t>5.  Limitations &amp; Disclaimers</t>
        </is>
      </c>
    </row>
    <row r="34" ht="100" customHeight="1">
      <c r="A34" s="43" t="inlineStr">
        <is>
          <t>Assessment Limitations</t>
        </is>
      </c>
      <c r="B34" s="45" t="inlineStr">
        <is>
          <t>•  This assessment is based on simulated interviews and document review — findings are illustrative
•  Technical penetration testing and vulnerability scanning were not in scope for this assessment
•  Findings represent a point-in-time assessment; the organisation's posture may have changed
•  Some control areas may require deeper investigation beyond the scope of this initial gap analysis
•  This assessment does not constitute a formal ISO 27001 certification audit</t>
        </is>
      </c>
    </row>
    <row r="36" ht="10" customHeight="1"/>
    <row r="37" ht="36" customHeight="1">
      <c r="A37" s="46" t="inlineStr">
        <is>
          <t>⚠️  DISCLAIMER: This gap analysis was conducted against a fictional organisation for GRC portfolio and educational purposes. All findings, scores, organisations, and individuals referenced are entirely fictitious. This document does not represent the security posture of any real organisation.</t>
        </is>
      </c>
    </row>
  </sheetData>
  <mergeCells count="8">
    <mergeCell ref="A4:B4"/>
    <mergeCell ref="A21:B21"/>
    <mergeCell ref="A2:B2"/>
    <mergeCell ref="A15:B15"/>
    <mergeCell ref="A33:B33"/>
    <mergeCell ref="A37:B37"/>
    <mergeCell ref="A1:B1"/>
    <mergeCell ref="A27:B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18" customWidth="1" min="4" max="4"/>
  </cols>
  <sheetData>
    <row r="1" ht="36" customHeight="1">
      <c r="A1" s="8" t="inlineStr">
        <is>
          <t>Executive Summary</t>
        </is>
      </c>
    </row>
    <row r="2" ht="18" customHeight="1">
      <c r="A2" s="9" t="inlineStr">
        <is>
          <t>ISO/IEC 27001:2022 — TechCorp Solutions Ltd</t>
        </is>
      </c>
    </row>
    <row r="4" ht="38" customHeight="1">
      <c r="A4" s="10" t="inlineStr">
        <is>
          <t>Total Controls Assessed</t>
        </is>
      </c>
      <c r="B4" s="11">
        <f>COUNTA('Gap Analysis'!A4:A96)</f>
        <v/>
      </c>
      <c r="C4" s="10" t="inlineStr">
        <is>
          <t>Compliant</t>
        </is>
      </c>
      <c r="D4" s="11">
        <f>COUNTIF('Gap Analysis'!F4:F96,"Compliant")</f>
        <v/>
      </c>
    </row>
    <row r="5" ht="38" customHeight="1">
      <c r="A5" s="10" t="inlineStr">
        <is>
          <t>Partial Compliance</t>
        </is>
      </c>
      <c r="B5" s="11">
        <f>COUNTIF('Gap Analysis'!F4:F96,"Partial")</f>
        <v/>
      </c>
      <c r="C5" s="10" t="inlineStr">
        <is>
          <t>Non-Compliant</t>
        </is>
      </c>
      <c r="D5" s="11">
        <f>COUNTIF('Gap Analysis'!F4:F96,"Non-Compliant")</f>
        <v/>
      </c>
    </row>
    <row r="6" ht="38" customHeight="1">
      <c r="A6" s="10" t="inlineStr">
        <is>
          <t>Not Applicable</t>
        </is>
      </c>
      <c r="B6" s="11">
        <f>COUNTIF('Gap Analysis'!F4:F96,"Not Applicable")</f>
        <v/>
      </c>
      <c r="C6" s="10" t="inlineStr">
        <is>
          <t>Overall Score %</t>
        </is>
      </c>
      <c r="D6" s="11">
        <f>COUNTIF('Gap Analysis'!F4:F96,"Compliant")/COUNTA('Gap Analysis'!A4:A96)*100</f>
        <v/>
      </c>
    </row>
    <row r="7" ht="38" customHeight="1">
      <c r="A7" s="10" t="inlineStr">
        <is>
          <t>Critical Gaps</t>
        </is>
      </c>
      <c r="B7" s="11">
        <f>COUNTIF('Gap Analysis'!H4:H96,"Critical")</f>
        <v/>
      </c>
      <c r="C7" s="10" t="inlineStr">
        <is>
          <t>High Priority Gaps</t>
        </is>
      </c>
      <c r="D7" s="11">
        <f>COUNTIF('Gap Analysis'!H4:H96,"High")</f>
        <v/>
      </c>
    </row>
    <row r="9" ht="28" customHeight="1">
      <c r="A9" s="12" t="inlineStr">
        <is>
          <t>Key Findings &amp; Observations</t>
        </is>
      </c>
    </row>
    <row r="10" ht="44" customHeight="1">
      <c r="A10" s="13" t="inlineStr">
        <is>
          <t>🔴 Critical Gap</t>
        </is>
      </c>
      <c r="B10" s="14" t="inlineStr">
        <is>
          <t>Clause 6.1 — No formal risk assessment process documented. Organisation lacks a structured methodology for identifying and treating information security risks.</t>
        </is>
      </c>
      <c r="C10" s="34" t="n"/>
      <c r="D10" s="33" t="n"/>
    </row>
    <row r="11" ht="44" customHeight="1">
      <c r="A11" s="13" t="inlineStr">
        <is>
          <t>🔴 Critical Gap</t>
        </is>
      </c>
      <c r="B11" s="15" t="inlineStr">
        <is>
          <t>Clause 9.2 — Internal audit programme has never been conducted. No evidence of systematic evaluation of ISMS effectiveness.</t>
        </is>
      </c>
      <c r="C11" s="34" t="n"/>
      <c r="D11" s="33" t="n"/>
    </row>
    <row r="12" ht="44" customHeight="1">
      <c r="A12" s="13" t="inlineStr">
        <is>
          <t>🔴 Critical Gap</t>
        </is>
      </c>
      <c r="B12" s="14" t="inlineStr">
        <is>
          <t>A.5.23 — No information security policies for cloud services. Significant exposure across AWS and Azure environments.</t>
        </is>
      </c>
      <c r="C12" s="34" t="n"/>
      <c r="D12" s="33" t="n"/>
    </row>
    <row r="13" ht="44" customHeight="1">
      <c r="A13" s="16" t="inlineStr">
        <is>
          <t>🟠 High Gap</t>
        </is>
      </c>
      <c r="B13" s="15" t="inlineStr">
        <is>
          <t>A.8.8 — Vulnerability management process exists but critical patches regularly exceed 30-day remediation SLA.</t>
        </is>
      </c>
      <c r="C13" s="34" t="n"/>
      <c r="D13" s="33" t="n"/>
    </row>
    <row r="14" ht="44" customHeight="1">
      <c r="A14" s="16" t="inlineStr">
        <is>
          <t>🟠 High Gap</t>
        </is>
      </c>
      <c r="B14" s="14" t="inlineStr">
        <is>
          <t>A.6.3 — Security awareness training is annual only; no role-specific training for high-risk roles such as IT administrators and finance staff.</t>
        </is>
      </c>
      <c r="C14" s="34" t="n"/>
      <c r="D14" s="33" t="n"/>
    </row>
    <row r="15" ht="44" customHeight="1">
      <c r="A15" s="16" t="inlineStr">
        <is>
          <t>🟠 High Gap</t>
        </is>
      </c>
      <c r="B15" s="15" t="inlineStr">
        <is>
          <t>A.5.30 — No ICT readiness for business continuity plan. AI system outages not covered in existing BCP documentation.</t>
        </is>
      </c>
      <c r="C15" s="34" t="n"/>
      <c r="D15" s="33" t="n"/>
    </row>
    <row r="16" ht="44" customHeight="1">
      <c r="A16" s="17" t="inlineStr">
        <is>
          <t>🟡 Observation</t>
        </is>
      </c>
      <c r="B16" s="14" t="inlineStr">
        <is>
          <t>A.8.2 — Privileged access rights exist but quarterly access reviews are inconsistently performed across business units.</t>
        </is>
      </c>
      <c r="C16" s="34" t="n"/>
      <c r="D16" s="33" t="n"/>
    </row>
    <row r="17" ht="44" customHeight="1">
      <c r="A17" s="18" t="inlineStr">
        <is>
          <t>🟢 Strength</t>
        </is>
      </c>
      <c r="B17" s="15" t="inlineStr">
        <is>
          <t>A.8.5 — Multi-factor authentication deployed across all cloud admin portals and VPN access points.</t>
        </is>
      </c>
      <c r="C17" s="34" t="n"/>
      <c r="D17" s="33" t="n"/>
    </row>
    <row r="18" ht="44" customHeight="1">
      <c r="A18" s="18" t="inlineStr">
        <is>
          <t>🟢 Strength</t>
        </is>
      </c>
      <c r="B18" s="14" t="inlineStr">
        <is>
          <t>A.5.10 — Acceptable use policy exists and has been signed by all employees within the last 12 months.</t>
        </is>
      </c>
      <c r="C18" s="34" t="n"/>
      <c r="D18" s="33" t="n"/>
    </row>
  </sheetData>
  <mergeCells count="21">
    <mergeCell ref="B11:D11"/>
    <mergeCell ref="B14:D14"/>
    <mergeCell ref="A17"/>
    <mergeCell ref="B17:D17"/>
    <mergeCell ref="B13:D13"/>
    <mergeCell ref="A10"/>
    <mergeCell ref="A13"/>
    <mergeCell ref="B10:D10"/>
    <mergeCell ref="A9:D9"/>
    <mergeCell ref="A15"/>
    <mergeCell ref="B15:D15"/>
    <mergeCell ref="A11"/>
    <mergeCell ref="A1:D1"/>
    <mergeCell ref="A16"/>
    <mergeCell ref="B16:D16"/>
    <mergeCell ref="A12"/>
    <mergeCell ref="A18"/>
    <mergeCell ref="B18:D18"/>
    <mergeCell ref="A2:D2"/>
    <mergeCell ref="B12:D12"/>
    <mergeCell ref="A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34" customWidth="1" min="5" max="5"/>
    <col width="16" customWidth="1" min="6" max="6"/>
    <col width="32" customWidth="1" min="7" max="7"/>
    <col width="12" customWidth="1" min="8" max="8"/>
    <col width="30" customWidth="1" min="9" max="9"/>
    <col width="14" customWidth="1" min="10" max="10"/>
  </cols>
  <sheetData>
    <row r="1" ht="36" customHeight="1">
      <c r="A1" s="8" t="inlineStr">
        <is>
          <t>ISO 27001:2022 — Annex A Controls Gap Analysis</t>
        </is>
      </c>
    </row>
    <row r="2" ht="18" customHeight="1">
      <c r="A2" s="9" t="inlineStr">
        <is>
          <t>Organisation: TechCorp Solutions Ltd (Fictional)  |  Standard: ISO/IEC 27001:2022  |  Assessment: June 2026</t>
        </is>
      </c>
    </row>
    <row r="3" ht="40" customHeight="1">
      <c r="A3" s="19" t="inlineStr">
        <is>
          <t>Control ID</t>
        </is>
      </c>
      <c r="B3" s="19" t="inlineStr">
        <is>
          <t>Clause / Domain</t>
        </is>
      </c>
      <c r="C3" s="19" t="inlineStr">
        <is>
          <t>Control Title</t>
        </is>
      </c>
      <c r="D3" s="19" t="inlineStr">
        <is>
          <t>Current State (What Exists)</t>
        </is>
      </c>
      <c r="E3" s="19" t="inlineStr">
        <is>
          <t>Gap (What Is Missing)</t>
        </is>
      </c>
      <c r="F3" s="19" t="inlineStr">
        <is>
          <t>Compliance Status</t>
        </is>
      </c>
      <c r="G3" s="19" t="inlineStr">
        <is>
          <t>Recommended Action</t>
        </is>
      </c>
      <c r="H3" s="19" t="inlineStr">
        <is>
          <t>Priority</t>
        </is>
      </c>
      <c r="I3" s="19" t="inlineStr">
        <is>
          <t>Evidence Required</t>
        </is>
      </c>
      <c r="J3" s="19" t="inlineStr">
        <is>
          <t>Target Date</t>
        </is>
      </c>
    </row>
    <row r="4" ht="60" customHeight="1">
      <c r="A4" s="20" t="inlineStr">
        <is>
          <t>5.1</t>
        </is>
      </c>
      <c r="B4" s="21" t="inlineStr">
        <is>
          <t>Organisational Controls</t>
        </is>
      </c>
      <c r="C4" s="21" t="inlineStr">
        <is>
          <t>Policies for information security</t>
        </is>
      </c>
      <c r="D4" s="21" t="inlineStr">
        <is>
          <t>High-level information security policy exists and is signed off by the CEO. Published on intranet.</t>
        </is>
      </c>
      <c r="E4" s="21" t="inlineStr">
        <is>
          <t>Policy has not been reviewed in 18 months. No review schedule documented. Sub-policies for specific domains (cloud, AI, BYOD) are missing.</t>
        </is>
      </c>
      <c r="F4" s="17" t="inlineStr">
        <is>
          <t>Partial</t>
        </is>
      </c>
      <c r="G4" s="21" t="inlineStr">
        <is>
          <t>Schedule annual policy review; create sub-policies for cloud security, AI governance, and BYOD</t>
        </is>
      </c>
      <c r="H4" s="22" t="inlineStr">
        <is>
          <t>High</t>
        </is>
      </c>
      <c r="I4" s="21" t="inlineStr">
        <is>
          <t>Policy document with version history; review meeting minutes; sign-off evidence</t>
        </is>
      </c>
      <c r="J4" s="20" t="inlineStr">
        <is>
          <t>2026-09-30</t>
        </is>
      </c>
    </row>
    <row r="5" ht="60" customHeight="1">
      <c r="A5" s="23" t="inlineStr">
        <is>
          <t>5.2</t>
        </is>
      </c>
      <c r="B5" s="24" t="inlineStr">
        <is>
          <t>Organisational Controls</t>
        </is>
      </c>
      <c r="C5" s="24" t="inlineStr">
        <is>
          <t>Information security roles and responsibilities</t>
        </is>
      </c>
      <c r="D5" s="24" t="inlineStr">
        <is>
          <t>CISO role exists. Basic RACI matrix documented for IT department.</t>
        </is>
      </c>
      <c r="E5" s="24" t="inlineStr">
        <is>
          <t>RACI not extended to business units. No information security responsibilities in non-IT job descriptions.</t>
        </is>
      </c>
      <c r="F5" s="17" t="inlineStr">
        <is>
          <t>Partial</t>
        </is>
      </c>
      <c r="G5" s="24" t="inlineStr">
        <is>
          <t>Update all job descriptions to include relevant IS responsibilities; extend RACI to cover all business units</t>
        </is>
      </c>
      <c r="H5" s="16" t="inlineStr">
        <is>
          <t>Medium</t>
        </is>
      </c>
      <c r="I5" s="24" t="inlineStr">
        <is>
          <t>Updated job descriptions; extended RACI matrix</t>
        </is>
      </c>
      <c r="J5" s="23" t="inlineStr">
        <is>
          <t>2026-10-31</t>
        </is>
      </c>
    </row>
    <row r="6" ht="60" customHeight="1">
      <c r="A6" s="20" t="inlineStr">
        <is>
          <t>5.3</t>
        </is>
      </c>
      <c r="B6" s="21" t="inlineStr">
        <is>
          <t>Organisational Controls</t>
        </is>
      </c>
      <c r="C6" s="21" t="inlineStr">
        <is>
          <t>Segregation of duties</t>
        </is>
      </c>
      <c r="D6" s="21" t="inlineStr">
        <is>
          <t>Segregation applied in finance system. No formal policy.</t>
        </is>
      </c>
      <c r="E6" s="21" t="inlineStr">
        <is>
          <t>No organisation-wide segregation of duties policy. IT admin accounts not segregated from normal user accounts in all systems.</t>
        </is>
      </c>
      <c r="F6" s="17" t="inlineStr">
        <is>
          <t>Partial</t>
        </is>
      </c>
      <c r="G6" s="21" t="inlineStr">
        <is>
          <t>Document segregation of duties policy; audit admin account separation across all critical systems</t>
        </is>
      </c>
      <c r="H6" s="22" t="inlineStr">
        <is>
          <t>High</t>
        </is>
      </c>
      <c r="I6" s="21" t="inlineStr">
        <is>
          <t>Policy document; access rights matrix; system configuration evidence</t>
        </is>
      </c>
      <c r="J6" s="20" t="inlineStr">
        <is>
          <t>2026-09-15</t>
        </is>
      </c>
    </row>
    <row r="7" ht="60" customHeight="1">
      <c r="A7" s="23" t="inlineStr">
        <is>
          <t>5.4</t>
        </is>
      </c>
      <c r="B7" s="24" t="inlineStr">
        <is>
          <t>Organisational Controls</t>
        </is>
      </c>
      <c r="C7" s="24" t="inlineStr">
        <is>
          <t>Management responsibilities</t>
        </is>
      </c>
      <c r="D7" s="24" t="inlineStr">
        <is>
          <t>Management sign-off on IS policy exists.</t>
        </is>
      </c>
      <c r="E7" s="24" t="inlineStr">
        <is>
          <t>No evidence of management communicating IS importance to staff. No IS standing agenda item in management meetings.</t>
        </is>
      </c>
      <c r="F7" s="17" t="inlineStr">
        <is>
          <t>Partial</t>
        </is>
      </c>
      <c r="G7" s="24" t="inlineStr">
        <is>
          <t>Add IS as standing agenda item in monthly management meetings; document management communications</t>
        </is>
      </c>
      <c r="H7" s="18" t="inlineStr">
        <is>
          <t>Low</t>
        </is>
      </c>
      <c r="I7" s="24" t="inlineStr">
        <is>
          <t>Meeting minutes; communication records</t>
        </is>
      </c>
      <c r="J7" s="23" t="inlineStr">
        <is>
          <t>2026-11-30</t>
        </is>
      </c>
    </row>
    <row r="8" ht="60" customHeight="1">
      <c r="A8" s="20" t="inlineStr">
        <is>
          <t>5.5</t>
        </is>
      </c>
      <c r="B8" s="21" t="inlineStr">
        <is>
          <t>Organisational Controls</t>
        </is>
      </c>
      <c r="C8" s="21" t="inlineStr">
        <is>
          <t>Contact with authorities</t>
        </is>
      </c>
      <c r="D8" s="21" t="inlineStr">
        <is>
          <t>No formal process documented.</t>
        </is>
      </c>
      <c r="E8" s="21" t="inlineStr">
        <is>
          <t>No documented contacts with relevant authorities (RCMP, CISA, sector regulators). No process for when/how to contact.</t>
        </is>
      </c>
      <c r="F8" s="13" t="inlineStr">
        <is>
          <t>Non-Compliant</t>
        </is>
      </c>
      <c r="G8" s="21" t="inlineStr">
        <is>
          <t>Document authority contact list; define when and how to engage authorities during incidents</t>
        </is>
      </c>
      <c r="H8" s="16" t="inlineStr">
        <is>
          <t>Medium</t>
        </is>
      </c>
      <c r="I8" s="21" t="inlineStr">
        <is>
          <t>Contact list document; procedure for authority engagement</t>
        </is>
      </c>
      <c r="J8" s="20" t="inlineStr">
        <is>
          <t>2026-09-01</t>
        </is>
      </c>
    </row>
    <row r="9" ht="60" customHeight="1">
      <c r="A9" s="23" t="inlineStr">
        <is>
          <t>5.6</t>
        </is>
      </c>
      <c r="B9" s="24" t="inlineStr">
        <is>
          <t>Organisational Controls</t>
        </is>
      </c>
      <c r="C9" s="24" t="inlineStr">
        <is>
          <t>Contact with special interest groups</t>
        </is>
      </c>
      <c r="D9" s="24" t="inlineStr">
        <is>
          <t>CISO is a member of ISACA.</t>
        </is>
      </c>
      <c r="E9" s="24" t="inlineStr">
        <is>
          <t>No formal tracking of memberships. No process for sharing threat intelligence from groups with internal teams.</t>
        </is>
      </c>
      <c r="F9" s="17" t="inlineStr">
        <is>
          <t>Partial</t>
        </is>
      </c>
      <c r="G9" s="24" t="inlineStr">
        <is>
          <t>Document all memberships; create process for feeding threat intel into risk assessments</t>
        </is>
      </c>
      <c r="H9" s="18" t="inlineStr">
        <is>
          <t>Low</t>
        </is>
      </c>
      <c r="I9" s="24" t="inlineStr">
        <is>
          <t>Membership records; threat intel distribution process</t>
        </is>
      </c>
      <c r="J9" s="23" t="inlineStr">
        <is>
          <t>2026-12-31</t>
        </is>
      </c>
    </row>
    <row r="10" ht="60" customHeight="1">
      <c r="A10" s="20" t="inlineStr">
        <is>
          <t>5.7</t>
        </is>
      </c>
      <c r="B10" s="21" t="inlineStr">
        <is>
          <t>Organisational Controls</t>
        </is>
      </c>
      <c r="C10" s="21" t="inlineStr">
        <is>
          <t>Threat intelligence</t>
        </is>
      </c>
      <c r="D10" s="21" t="inlineStr">
        <is>
          <t>CISO receives vendor threat bulletins by email.</t>
        </is>
      </c>
      <c r="E10" s="21" t="inlineStr">
        <is>
          <t>No formal threat intelligence programme. Threat data not systematically analysed or shared with relevant teams.</t>
        </is>
      </c>
      <c r="F10" s="13" t="inlineStr">
        <is>
          <t>Non-Compliant</t>
        </is>
      </c>
      <c r="G10" s="21" t="inlineStr">
        <is>
          <t>Implement threat intelligence feed; define process for analysis and distribution to security and risk teams</t>
        </is>
      </c>
      <c r="H10" s="22" t="inlineStr">
        <is>
          <t>High</t>
        </is>
      </c>
      <c r="I10" s="21" t="inlineStr">
        <is>
          <t>Threat intel subscription evidence; distribution records; analysis documentation</t>
        </is>
      </c>
      <c r="J10" s="20" t="inlineStr">
        <is>
          <t>2026-10-01</t>
        </is>
      </c>
    </row>
    <row r="11" ht="60" customHeight="1">
      <c r="A11" s="23" t="inlineStr">
        <is>
          <t>5.8</t>
        </is>
      </c>
      <c r="B11" s="24" t="inlineStr">
        <is>
          <t>Organisational Controls</t>
        </is>
      </c>
      <c r="C11" s="24" t="inlineStr">
        <is>
          <t>Information security in project management</t>
        </is>
      </c>
      <c r="D11" s="24" t="inlineStr">
        <is>
          <t>IT projects have a security review step in the project template.</t>
        </is>
      </c>
      <c r="E11" s="24" t="inlineStr">
        <is>
          <t>Security review is optional in practice. AI projects and business-led projects do not follow the same process.</t>
        </is>
      </c>
      <c r="F11" s="17" t="inlineStr">
        <is>
          <t>Partial</t>
        </is>
      </c>
      <c r="G11" s="24" t="inlineStr">
        <is>
          <t>Make security review mandatory; extend to all project types including AI and business-led initiatives</t>
        </is>
      </c>
      <c r="H11" s="22" t="inlineStr">
        <is>
          <t>High</t>
        </is>
      </c>
      <c r="I11" s="24" t="inlineStr">
        <is>
          <t>Updated project methodology; evidence of security reviews in recent projects</t>
        </is>
      </c>
      <c r="J11" s="23" t="inlineStr">
        <is>
          <t>2026-09-30</t>
        </is>
      </c>
    </row>
    <row r="12" ht="60" customHeight="1">
      <c r="A12" s="20" t="inlineStr">
        <is>
          <t>5.9</t>
        </is>
      </c>
      <c r="B12" s="21" t="inlineStr">
        <is>
          <t>Organisational Controls</t>
        </is>
      </c>
      <c r="C12" s="21" t="inlineStr">
        <is>
          <t>Inventory of information and other associated assets</t>
        </is>
      </c>
      <c r="D12" s="21" t="inlineStr">
        <is>
          <t>IT asset register exists for hardware and software.</t>
        </is>
      </c>
      <c r="E12" s="21" t="inlineStr">
        <is>
          <t>Data assets and information assets not inventoried. AI models and training datasets not included in asset register.</t>
        </is>
      </c>
      <c r="F12" s="17" t="inlineStr">
        <is>
          <t>Partial</t>
        </is>
      </c>
      <c r="G12" s="21" t="inlineStr">
        <is>
          <t>Extend asset register to include data assets, AI models, and training datasets</t>
        </is>
      </c>
      <c r="H12" s="22" t="inlineStr">
        <is>
          <t>High</t>
        </is>
      </c>
      <c r="I12" s="21" t="inlineStr">
        <is>
          <t>Extended asset register including data and AI assets</t>
        </is>
      </c>
      <c r="J12" s="20" t="inlineStr">
        <is>
          <t>2026-09-01</t>
        </is>
      </c>
    </row>
    <row r="13" ht="60" customHeight="1">
      <c r="A13" s="23" t="inlineStr">
        <is>
          <t>5.10</t>
        </is>
      </c>
      <c r="B13" s="24" t="inlineStr">
        <is>
          <t>Organisational Controls</t>
        </is>
      </c>
      <c r="C13" s="24" t="inlineStr">
        <is>
          <t>Acceptable use of information and other associated assets</t>
        </is>
      </c>
      <c r="D13" s="24" t="inlineStr">
        <is>
          <t>Acceptable Use Policy documented and signed by all employees in last 12 months.</t>
        </is>
      </c>
      <c r="E13" s="24" t="inlineStr">
        <is>
          <t>AUP does not cover AI tools (ChatGPT, Copilot). No guidance on acceptable use of external AI services.</t>
        </is>
      </c>
      <c r="F13" s="17" t="inlineStr">
        <is>
          <t>Partial</t>
        </is>
      </c>
      <c r="G13" s="24" t="inlineStr">
        <is>
          <t>Update AUP to include AI tool usage guidelines; re-obtain signatures after update</t>
        </is>
      </c>
      <c r="H13" s="22" t="inlineStr">
        <is>
          <t>High</t>
        </is>
      </c>
      <c r="I13" s="24" t="inlineStr">
        <is>
          <t>Updated AUP; signed acknowledgement records</t>
        </is>
      </c>
      <c r="J13" s="23" t="inlineStr">
        <is>
          <t>2026-08-15</t>
        </is>
      </c>
    </row>
    <row r="14" ht="60" customHeight="1">
      <c r="A14" s="20" t="inlineStr">
        <is>
          <t>6.1</t>
        </is>
      </c>
      <c r="B14" s="21" t="inlineStr">
        <is>
          <t>Planning</t>
        </is>
      </c>
      <c r="C14" s="21" t="inlineStr">
        <is>
          <t>Actions to address risks and opportunities</t>
        </is>
      </c>
      <c r="D14" s="21" t="inlineStr">
        <is>
          <t>Informal risk discussions occur during project planning.</t>
        </is>
      </c>
      <c r="E14" s="21" t="inlineStr">
        <is>
          <t>No formal documented risk assessment methodology. No risk register. No risk treatment plan. This is a fundamental ISMS requirement.</t>
        </is>
      </c>
      <c r="F14" s="13" t="inlineStr">
        <is>
          <t>Non-Compliant</t>
        </is>
      </c>
      <c r="G14" s="21" t="inlineStr">
        <is>
          <t>Implement formal risk assessment methodology aligned to ISO 27005; document risk register and treatment plan</t>
        </is>
      </c>
      <c r="H14" s="13" t="inlineStr">
        <is>
          <t>Critical</t>
        </is>
      </c>
      <c r="I14" s="21" t="inlineStr">
        <is>
          <t>Risk assessment methodology document; completed risk register; risk treatment plan; management sign-off</t>
        </is>
      </c>
      <c r="J14" s="20" t="inlineStr">
        <is>
          <t>2026-08-01</t>
        </is>
      </c>
    </row>
    <row r="15" ht="60" customHeight="1">
      <c r="A15" s="23" t="inlineStr">
        <is>
          <t>6.2</t>
        </is>
      </c>
      <c r="B15" s="24" t="inlineStr">
        <is>
          <t>Planning</t>
        </is>
      </c>
      <c r="C15" s="24" t="inlineStr">
        <is>
          <t>Information security objectives</t>
        </is>
      </c>
      <c r="D15" s="24" t="inlineStr">
        <is>
          <t>No formal IS objectives documented.</t>
        </is>
      </c>
      <c r="E15" s="24" t="inlineStr">
        <is>
          <t>No measurable information security objectives set. No KPIs or metrics tracked for IS performance.</t>
        </is>
      </c>
      <c r="F15" s="13" t="inlineStr">
        <is>
          <t>Non-Compliant</t>
        </is>
      </c>
      <c r="G15" s="24" t="inlineStr">
        <is>
          <t>Define measurable IS objectives aligned to business goals; establish KPIs and reporting cadence</t>
        </is>
      </c>
      <c r="H15" s="22" t="inlineStr">
        <is>
          <t>High</t>
        </is>
      </c>
      <c r="I15" s="24" t="inlineStr">
        <is>
          <t>Documented IS objectives; KPI dashboard; management review evidence</t>
        </is>
      </c>
      <c r="J15" s="23" t="inlineStr">
        <is>
          <t>2026-09-01</t>
        </is>
      </c>
    </row>
    <row r="16" ht="60" customHeight="1">
      <c r="A16" s="20" t="inlineStr">
        <is>
          <t>6.3</t>
        </is>
      </c>
      <c r="B16" s="21" t="inlineStr">
        <is>
          <t>Planning</t>
        </is>
      </c>
      <c r="C16" s="21" t="inlineStr">
        <is>
          <t>Planning of changes</t>
        </is>
      </c>
      <c r="D16" s="21" t="inlineStr">
        <is>
          <t>Change management process exists for IT infrastructure.</t>
        </is>
      </c>
      <c r="E16" s="21" t="inlineStr">
        <is>
          <t>IS impact not explicitly assessed in change management process. No security sign-off step for changes.</t>
        </is>
      </c>
      <c r="F16" s="17" t="inlineStr">
        <is>
          <t>Partial</t>
        </is>
      </c>
      <c r="G16" s="21" t="inlineStr">
        <is>
          <t>Add mandatory security impact assessment step to change management process</t>
        </is>
      </c>
      <c r="H16" s="16" t="inlineStr">
        <is>
          <t>Medium</t>
        </is>
      </c>
      <c r="I16" s="21" t="inlineStr">
        <is>
          <t>Updated change management procedure; security sign-off evidence in recent changes</t>
        </is>
      </c>
      <c r="J16" s="20" t="inlineStr">
        <is>
          <t>2026-10-01</t>
        </is>
      </c>
    </row>
    <row r="17" ht="60" customHeight="1">
      <c r="A17" s="23" t="inlineStr">
        <is>
          <t>7.2</t>
        </is>
      </c>
      <c r="B17" s="24" t="inlineStr">
        <is>
          <t>Support</t>
        </is>
      </c>
      <c r="C17" s="24" t="inlineStr">
        <is>
          <t>Competence</t>
        </is>
      </c>
      <c r="D17" s="24" t="inlineStr">
        <is>
          <t>Annual security awareness training conducted for all staff.</t>
        </is>
      </c>
      <c r="E17" s="24" t="inlineStr">
        <is>
          <t>No role-specific training for high-risk roles. No training records for IT admins, developers, or finance staff beyond general awareness.</t>
        </is>
      </c>
      <c r="F17" s="17" t="inlineStr">
        <is>
          <t>Partial</t>
        </is>
      </c>
      <c r="G17" s="24" t="inlineStr">
        <is>
          <t>Implement role-based security training; maintain training records; verify competence for high-risk roles</t>
        </is>
      </c>
      <c r="H17" s="22" t="inlineStr">
        <is>
          <t>High</t>
        </is>
      </c>
      <c r="I17" s="24" t="inlineStr">
        <is>
          <t>Training completion records by role; competence assessment evidence</t>
        </is>
      </c>
      <c r="J17" s="23" t="inlineStr">
        <is>
          <t>2026-09-30</t>
        </is>
      </c>
    </row>
    <row r="18" ht="60" customHeight="1">
      <c r="A18" s="20" t="inlineStr">
        <is>
          <t>7.3</t>
        </is>
      </c>
      <c r="B18" s="21" t="inlineStr">
        <is>
          <t>Support</t>
        </is>
      </c>
      <c r="C18" s="21" t="inlineStr">
        <is>
          <t>Awareness</t>
        </is>
      </c>
      <c r="D18" s="21" t="inlineStr">
        <is>
          <t>Annual awareness training and phishing simulation conducted.</t>
        </is>
      </c>
      <c r="E18" s="21" t="inlineStr">
        <is>
          <t>Phishing simulation only annual. No awareness of AI-specific threats (deepfakes, AI phishing). No metrics on awareness effectiveness.</t>
        </is>
      </c>
      <c r="F18" s="17" t="inlineStr">
        <is>
          <t>Partial</t>
        </is>
      </c>
      <c r="G18" s="21" t="inlineStr">
        <is>
          <t>Increase phishing simulations to quarterly; add AI threat awareness module; track awareness metrics</t>
        </is>
      </c>
      <c r="H18" s="16" t="inlineStr">
        <is>
          <t>Medium</t>
        </is>
      </c>
      <c r="I18" s="21" t="inlineStr">
        <is>
          <t>Simulation results; training completion rates; awareness metrics dashboard</t>
        </is>
      </c>
      <c r="J18" s="20" t="inlineStr">
        <is>
          <t>2026-09-30</t>
        </is>
      </c>
    </row>
    <row r="19" ht="60" customHeight="1">
      <c r="A19" s="23" t="inlineStr">
        <is>
          <t>7.4</t>
        </is>
      </c>
      <c r="B19" s="24" t="inlineStr">
        <is>
          <t>Support</t>
        </is>
      </c>
      <c r="C19" s="24" t="inlineStr">
        <is>
          <t>Communication</t>
        </is>
      </c>
      <c r="D19" s="24" t="inlineStr">
        <is>
          <t>IS communications sent ad-hoc via email.</t>
        </is>
      </c>
      <c r="E19" s="24" t="inlineStr">
        <is>
          <t>No formal IS communication plan. No defined audiences, channels, or frequency for IS communications.</t>
        </is>
      </c>
      <c r="F19" s="17" t="inlineStr">
        <is>
          <t>Partial</t>
        </is>
      </c>
      <c r="G19" s="24" t="inlineStr">
        <is>
          <t>Develop IS communication plan defining audiences, channels, and frequency</t>
        </is>
      </c>
      <c r="H19" s="18" t="inlineStr">
        <is>
          <t>Low</t>
        </is>
      </c>
      <c r="I19" s="24" t="inlineStr">
        <is>
          <t>IS communication plan document; evidence of communications sent</t>
        </is>
      </c>
      <c r="J19" s="23" t="inlineStr">
        <is>
          <t>2026-11-30</t>
        </is>
      </c>
    </row>
    <row r="20" ht="60" customHeight="1">
      <c r="A20" s="20" t="inlineStr">
        <is>
          <t>7.5</t>
        </is>
      </c>
      <c r="B20" s="21" t="inlineStr">
        <is>
          <t>Support</t>
        </is>
      </c>
      <c r="C20" s="21" t="inlineStr">
        <is>
          <t>Documented information</t>
        </is>
      </c>
      <c r="D20" s="21" t="inlineStr">
        <is>
          <t>Key policies documented. Some procedures informally documented.</t>
        </is>
      </c>
      <c r="E20" s="21" t="inlineStr">
        <is>
          <t>Document control process inconsistent. Many procedures undocumented. No version control on all IS documents.</t>
        </is>
      </c>
      <c r="F20" s="17" t="inlineStr">
        <is>
          <t>Partial</t>
        </is>
      </c>
      <c r="G20" s="21" t="inlineStr">
        <is>
          <t>Implement document control procedure; version-control all IS documents; identify and document missing procedures</t>
        </is>
      </c>
      <c r="H20" s="16" t="inlineStr">
        <is>
          <t>Medium</t>
        </is>
      </c>
      <c r="I20" s="21" t="inlineStr">
        <is>
          <t>Document control procedure; document register with version history</t>
        </is>
      </c>
      <c r="J20" s="20" t="inlineStr">
        <is>
          <t>2026-10-15</t>
        </is>
      </c>
    </row>
    <row r="21" ht="60" customHeight="1">
      <c r="A21" s="23" t="inlineStr">
        <is>
          <t>8.1</t>
        </is>
      </c>
      <c r="B21" s="24" t="inlineStr">
        <is>
          <t>Operation</t>
        </is>
      </c>
      <c r="C21" s="24" t="inlineStr">
        <is>
          <t>Operational planning and control</t>
        </is>
      </c>
      <c r="D21" s="24" t="inlineStr">
        <is>
          <t>IT operational procedures exist for key systems.</t>
        </is>
      </c>
      <c r="E21" s="24" t="inlineStr">
        <is>
          <t>Not all IS-relevant operational processes are documented. AI system operational procedures absent.</t>
        </is>
      </c>
      <c r="F21" s="17" t="inlineStr">
        <is>
          <t>Partial</t>
        </is>
      </c>
      <c r="G21" s="24" t="inlineStr">
        <is>
          <t>Document all IS-relevant operational procedures; include AI system operations</t>
        </is>
      </c>
      <c r="H21" s="16" t="inlineStr">
        <is>
          <t>Medium</t>
        </is>
      </c>
      <c r="I21" s="24" t="inlineStr">
        <is>
          <t>Complete operational procedures register; AI system operational documentation</t>
        </is>
      </c>
      <c r="J21" s="23" t="inlineStr">
        <is>
          <t>2026-10-31</t>
        </is>
      </c>
    </row>
    <row r="22" ht="60" customHeight="1">
      <c r="A22" s="20" t="inlineStr">
        <is>
          <t>8.2</t>
        </is>
      </c>
      <c r="B22" s="21" t="inlineStr">
        <is>
          <t>Operation</t>
        </is>
      </c>
      <c r="C22" s="21" t="inlineStr">
        <is>
          <t>Information security risk assessment</t>
        </is>
      </c>
      <c r="D22" s="21" t="inlineStr">
        <is>
          <t>No formal process — see 6.1</t>
        </is>
      </c>
      <c r="E22" s="21" t="inlineStr">
        <is>
          <t>Same gap as 6.1. No periodic risk assessments performed.</t>
        </is>
      </c>
      <c r="F22" s="13" t="inlineStr">
        <is>
          <t>Non-Compliant</t>
        </is>
      </c>
      <c r="G22" s="21" t="inlineStr">
        <is>
          <t>Conduct initial formal risk assessment; schedule periodic reassessments (at minimum annually)</t>
        </is>
      </c>
      <c r="H22" s="13" t="inlineStr">
        <is>
          <t>Critical</t>
        </is>
      </c>
      <c r="I22" s="21" t="inlineStr">
        <is>
          <t>Completed risk assessment report; schedule for periodic reassessments</t>
        </is>
      </c>
      <c r="J22" s="20" t="inlineStr">
        <is>
          <t>2026-08-01</t>
        </is>
      </c>
    </row>
    <row r="23" ht="60" customHeight="1">
      <c r="A23" s="23" t="inlineStr">
        <is>
          <t>8.3</t>
        </is>
      </c>
      <c r="B23" s="24" t="inlineStr">
        <is>
          <t>Operation</t>
        </is>
      </c>
      <c r="C23" s="24" t="inlineStr">
        <is>
          <t>Information security risk treatment</t>
        </is>
      </c>
      <c r="D23" s="24" t="inlineStr">
        <is>
          <t>No formal process — see 6.1</t>
        </is>
      </c>
      <c r="E23" s="24" t="inlineStr">
        <is>
          <t>No risk treatment plan. Risks not formally accepted, transferred, mitigated, or avoided.</t>
        </is>
      </c>
      <c r="F23" s="13" t="inlineStr">
        <is>
          <t>Non-Compliant</t>
        </is>
      </c>
      <c r="G23" s="24" t="inlineStr">
        <is>
          <t>Develop risk treatment plan following initial risk assessment; obtain management sign-off</t>
        </is>
      </c>
      <c r="H23" s="13" t="inlineStr">
        <is>
          <t>Critical</t>
        </is>
      </c>
      <c r="I23" s="24" t="inlineStr">
        <is>
          <t>Risk treatment plan; Statement of Applicability (SoA); management approval</t>
        </is>
      </c>
      <c r="J23" s="23" t="inlineStr">
        <is>
          <t>2026-08-15</t>
        </is>
      </c>
    </row>
    <row r="24" ht="60" customHeight="1">
      <c r="A24" s="20" t="inlineStr">
        <is>
          <t>A.5.1</t>
        </is>
      </c>
      <c r="B24" s="21" t="inlineStr">
        <is>
          <t>Policies</t>
        </is>
      </c>
      <c r="C24" s="21" t="inlineStr">
        <is>
          <t>Policies for information security</t>
        </is>
      </c>
      <c r="D24" s="21" t="inlineStr">
        <is>
          <t>See 5.1 above</t>
        </is>
      </c>
      <c r="E24" s="21" t="inlineStr">
        <is>
          <t>See 5.1 above</t>
        </is>
      </c>
      <c r="F24" s="17" t="inlineStr">
        <is>
          <t>Partial</t>
        </is>
      </c>
      <c r="G24" s="21" t="inlineStr">
        <is>
          <t>See Clause 5.1 recommendations</t>
        </is>
      </c>
      <c r="H24" s="22" t="inlineStr">
        <is>
          <t>High</t>
        </is>
      </c>
      <c r="I24" s="21" t="inlineStr">
        <is>
          <t>See Clause 5.1</t>
        </is>
      </c>
      <c r="J24" s="20" t="inlineStr">
        <is>
          <t>2026-09-30</t>
        </is>
      </c>
    </row>
    <row r="25" ht="60" customHeight="1">
      <c r="A25" s="23" t="inlineStr">
        <is>
          <t>A.5.14</t>
        </is>
      </c>
      <c r="B25" s="24" t="inlineStr">
        <is>
          <t>Policies</t>
        </is>
      </c>
      <c r="C25" s="24" t="inlineStr">
        <is>
          <t>Information transfer</t>
        </is>
      </c>
      <c r="D25" s="24" t="inlineStr">
        <is>
          <t>Email usage policy exists.</t>
        </is>
      </c>
      <c r="E25" s="24" t="inlineStr">
        <is>
          <t>No data transfer policy covering cloud storage, file sharing platforms, or AI tool data inputs. No DLP controls.</t>
        </is>
      </c>
      <c r="F25" s="13" t="inlineStr">
        <is>
          <t>Non-Compliant</t>
        </is>
      </c>
      <c r="G25" s="24" t="inlineStr">
        <is>
          <t>Create information transfer policy; implement DLP controls for cloud and AI tool data transfers</t>
        </is>
      </c>
      <c r="H25" s="22" t="inlineStr">
        <is>
          <t>High</t>
        </is>
      </c>
      <c r="I25" s="24" t="inlineStr">
        <is>
          <t>Information transfer policy; DLP configuration evidence; monitoring logs</t>
        </is>
      </c>
      <c r="J25" s="23" t="inlineStr">
        <is>
          <t>2026-09-15</t>
        </is>
      </c>
    </row>
    <row r="26" ht="60" customHeight="1">
      <c r="A26" s="20" t="inlineStr">
        <is>
          <t>A.5.23</t>
        </is>
      </c>
      <c r="B26" s="21" t="inlineStr">
        <is>
          <t>Policies</t>
        </is>
      </c>
      <c r="C26" s="21" t="inlineStr">
        <is>
          <t>Information security for use of cloud services</t>
        </is>
      </c>
      <c r="D26" s="21" t="inlineStr">
        <is>
          <t>Cloud services in use (AWS, Azure, M365). Basic security configurations applied.</t>
        </is>
      </c>
      <c r="E26" s="21" t="inlineStr">
        <is>
          <t>No formal cloud security policy. No cloud security baseline documented. No CSPM tool in use.</t>
        </is>
      </c>
      <c r="F26" s="13" t="inlineStr">
        <is>
          <t>Non-Compliant</t>
        </is>
      </c>
      <c r="G26" s="21" t="inlineStr">
        <is>
          <t>Develop cloud security policy; implement CSPM tool; document cloud security baseline configuration</t>
        </is>
      </c>
      <c r="H26" s="13" t="inlineStr">
        <is>
          <t>Critical</t>
        </is>
      </c>
      <c r="I26" s="21" t="inlineStr">
        <is>
          <t>Cloud security policy; CSPM tool deployment evidence; baseline configuration document</t>
        </is>
      </c>
      <c r="J26" s="20" t="inlineStr">
        <is>
          <t>2026-08-30</t>
        </is>
      </c>
    </row>
    <row r="27" ht="60" customHeight="1">
      <c r="A27" s="23" t="inlineStr">
        <is>
          <t>A.5.30</t>
        </is>
      </c>
      <c r="B27" s="24" t="inlineStr">
        <is>
          <t>Policies</t>
        </is>
      </c>
      <c r="C27" s="24" t="inlineStr">
        <is>
          <t>ICT readiness for business continuity</t>
        </is>
      </c>
      <c r="D27" s="24" t="inlineStr">
        <is>
          <t>General BCP exists for key business processes.</t>
        </is>
      </c>
      <c r="E27" s="24" t="inlineStr">
        <is>
          <t>ICT-specific continuity plan absent. AI system outages not covered. No RTO/RPO defined for AI-dependent processes.</t>
        </is>
      </c>
      <c r="F27" s="13" t="inlineStr">
        <is>
          <t>Non-Compliant</t>
        </is>
      </c>
      <c r="G27" s="24" t="inlineStr">
        <is>
          <t>Develop ICT continuity plan; define RTO/RPO for all critical systems including AI; test annually</t>
        </is>
      </c>
      <c r="H27" s="22" t="inlineStr">
        <is>
          <t>High</t>
        </is>
      </c>
      <c r="I27" s="24" t="inlineStr">
        <is>
          <t>ICT continuity plan; RTO/RPO documentation; test results</t>
        </is>
      </c>
      <c r="J27" s="23" t="inlineStr">
        <is>
          <t>2026-10-31</t>
        </is>
      </c>
    </row>
    <row r="28" ht="60" customHeight="1">
      <c r="A28" s="20" t="inlineStr">
        <is>
          <t>A.6.1</t>
        </is>
      </c>
      <c r="B28" s="21" t="inlineStr">
        <is>
          <t>Human Resource Security</t>
        </is>
      </c>
      <c r="C28" s="21" t="inlineStr">
        <is>
          <t>Screening</t>
        </is>
      </c>
      <c r="D28" s="21" t="inlineStr">
        <is>
          <t>Background checks conducted for all new hires.</t>
        </is>
      </c>
      <c r="E28" s="21" t="inlineStr">
        <is>
          <t>Background check policy not documented. No periodic re-screening for staff in sensitive roles.</t>
        </is>
      </c>
      <c r="F28" s="17" t="inlineStr">
        <is>
          <t>Partial</t>
        </is>
      </c>
      <c r="G28" s="21" t="inlineStr">
        <is>
          <t>Document background screening policy; implement periodic re-screening for high-trust roles</t>
        </is>
      </c>
      <c r="H28" s="16" t="inlineStr">
        <is>
          <t>Medium</t>
        </is>
      </c>
      <c r="I28" s="21" t="inlineStr">
        <is>
          <t>Screening policy; screening records for new hires; periodic re-screening schedule</t>
        </is>
      </c>
      <c r="J28" s="20" t="inlineStr">
        <is>
          <t>2026-10-31</t>
        </is>
      </c>
    </row>
    <row r="29" ht="60" customHeight="1">
      <c r="A29" s="23" t="inlineStr">
        <is>
          <t>A.6.3</t>
        </is>
      </c>
      <c r="B29" s="24" t="inlineStr">
        <is>
          <t>Human Resource Security</t>
        </is>
      </c>
      <c r="C29" s="24" t="inlineStr">
        <is>
          <t>Information security awareness, education and training</t>
        </is>
      </c>
      <c r="D29" s="24" t="inlineStr">
        <is>
          <t>See 7.2 — annual training only</t>
        </is>
      </c>
      <c r="E29" s="24" t="inlineStr">
        <is>
          <t>See 7.2 gap</t>
        </is>
      </c>
      <c r="F29" s="17" t="inlineStr">
        <is>
          <t>Partial</t>
        </is>
      </c>
      <c r="G29" s="24" t="inlineStr">
        <is>
          <t>See Clause 7.2 recommendations</t>
        </is>
      </c>
      <c r="H29" s="22" t="inlineStr">
        <is>
          <t>High</t>
        </is>
      </c>
      <c r="I29" s="24" t="inlineStr">
        <is>
          <t>See Clause 7.2</t>
        </is>
      </c>
      <c r="J29" s="23" t="inlineStr">
        <is>
          <t>2026-09-30</t>
        </is>
      </c>
    </row>
    <row r="30" ht="60" customHeight="1">
      <c r="A30" s="20" t="inlineStr">
        <is>
          <t>A.6.5</t>
        </is>
      </c>
      <c r="B30" s="21" t="inlineStr">
        <is>
          <t>Human Resource Security</t>
        </is>
      </c>
      <c r="C30" s="21" t="inlineStr">
        <is>
          <t>Responsibilities after termination or change of employment</t>
        </is>
      </c>
      <c r="D30" s="21" t="inlineStr">
        <is>
          <t>Exit checklist exists. IT access revoked on last day.</t>
        </is>
      </c>
      <c r="E30" s="21" t="inlineStr">
        <is>
          <t>No automated de-provisioning. Manual process creates risk of delay. No post-employment confidentiality reminders sent.</t>
        </is>
      </c>
      <c r="F30" s="17" t="inlineStr">
        <is>
          <t>Partial</t>
        </is>
      </c>
      <c r="G30" s="21" t="inlineStr">
        <is>
          <t>Automate access de-provisioning on HR system trigger; send post-employment obligations reminder</t>
        </is>
      </c>
      <c r="H30" s="22" t="inlineStr">
        <is>
          <t>High</t>
        </is>
      </c>
      <c r="I30" s="21" t="inlineStr">
        <is>
          <t>Automated de-provisioning evidence; exit checklist completion records</t>
        </is>
      </c>
      <c r="J30" s="20" t="inlineStr">
        <is>
          <t>2026-09-01</t>
        </is>
      </c>
    </row>
    <row r="31" ht="60" customHeight="1">
      <c r="A31" s="23" t="inlineStr">
        <is>
          <t>A.7.1</t>
        </is>
      </c>
      <c r="B31" s="24" t="inlineStr">
        <is>
          <t>Physical Security</t>
        </is>
      </c>
      <c r="C31" s="24" t="inlineStr">
        <is>
          <t>Physical security perimeters</t>
        </is>
      </c>
      <c r="D31" s="24" t="inlineStr">
        <is>
          <t>Office has badge access. Server room has separate badge access.</t>
        </is>
      </c>
      <c r="E31" s="24" t="inlineStr">
        <is>
          <t>No formal physical security perimeter policy. Visitor management inconsistent across office locations.</t>
        </is>
      </c>
      <c r="F31" s="17" t="inlineStr">
        <is>
          <t>Partial</t>
        </is>
      </c>
      <c r="G31" s="24" t="inlineStr">
        <is>
          <t>Document physical security policy; standardise visitor management across all locations</t>
        </is>
      </c>
      <c r="H31" s="16" t="inlineStr">
        <is>
          <t>Medium</t>
        </is>
      </c>
      <c r="I31" s="24" t="inlineStr">
        <is>
          <t>Physical security policy; visitor log records; badge access configuration evidence</t>
        </is>
      </c>
      <c r="J31" s="23" t="inlineStr">
        <is>
          <t>2026-10-31</t>
        </is>
      </c>
    </row>
    <row r="32" ht="60" customHeight="1">
      <c r="A32" s="20" t="inlineStr">
        <is>
          <t>A.7.4</t>
        </is>
      </c>
      <c r="B32" s="21" t="inlineStr">
        <is>
          <t>Physical Security</t>
        </is>
      </c>
      <c r="C32" s="21" t="inlineStr">
        <is>
          <t>Physical security monitoring</t>
        </is>
      </c>
      <c r="D32" s="21" t="inlineStr">
        <is>
          <t>CCTV installed in server room and main entrance.</t>
        </is>
      </c>
      <c r="E32" s="21" t="inlineStr">
        <is>
          <t>CCTV footage retention period not defined. No formal monitoring process. Tailgating incidents not tracked.</t>
        </is>
      </c>
      <c r="F32" s="17" t="inlineStr">
        <is>
          <t>Partial</t>
        </is>
      </c>
      <c r="G32" s="21" t="inlineStr">
        <is>
          <t>Define CCTV retention policy; implement tailgating monitoring; document physical security monitoring process</t>
        </is>
      </c>
      <c r="H32" s="16" t="inlineStr">
        <is>
          <t>Medium</t>
        </is>
      </c>
      <c r="I32" s="21" t="inlineStr">
        <is>
          <t>CCTV retention policy; monitoring logs; incident records</t>
        </is>
      </c>
      <c r="J32" s="20" t="inlineStr">
        <is>
          <t>2026-10-31</t>
        </is>
      </c>
    </row>
    <row r="33" ht="60" customHeight="1">
      <c r="A33" s="23" t="inlineStr">
        <is>
          <t>A.8.2</t>
        </is>
      </c>
      <c r="B33" s="24" t="inlineStr">
        <is>
          <t>Access Control</t>
        </is>
      </c>
      <c r="C33" s="24" t="inlineStr">
        <is>
          <t>Privileged access rights</t>
        </is>
      </c>
      <c r="D33" s="24" t="inlineStr">
        <is>
          <t>Privileged accounts exist with separate admin credentials. Quarterly access reviews conducted.</t>
        </is>
      </c>
      <c r="E33" s="24" t="inlineStr">
        <is>
          <t>Access reviews inconsistently performed across business units. No PAM solution. Some shared admin accounts in use.</t>
        </is>
      </c>
      <c r="F33" s="17" t="inlineStr">
        <is>
          <t>Partial</t>
        </is>
      </c>
      <c r="G33" s="24" t="inlineStr">
        <is>
          <t>Implement PAM solution; eliminate shared admin accounts; enforce consistent quarterly access reviews</t>
        </is>
      </c>
      <c r="H33" s="22" t="inlineStr">
        <is>
          <t>High</t>
        </is>
      </c>
      <c r="I33" s="24" t="inlineStr">
        <is>
          <t>PAM deployment evidence; access review records; admin account audit results</t>
        </is>
      </c>
      <c r="J33" s="23" t="inlineStr">
        <is>
          <t>2026-09-01</t>
        </is>
      </c>
    </row>
    <row r="34" ht="60" customHeight="1">
      <c r="A34" s="20" t="inlineStr">
        <is>
          <t>A.8.3</t>
        </is>
      </c>
      <c r="B34" s="21" t="inlineStr">
        <is>
          <t>Access Control</t>
        </is>
      </c>
      <c r="C34" s="21" t="inlineStr">
        <is>
          <t>Information access restriction</t>
        </is>
      </c>
      <c r="D34" s="21" t="inlineStr">
        <is>
          <t>Role-based access control implemented in core systems.</t>
        </is>
      </c>
      <c r="E34" s="21" t="inlineStr">
        <is>
          <t>RBAC not consistently applied across all systems. Legacy applications use flat access model. AI system data access not restricted by role.</t>
        </is>
      </c>
      <c r="F34" s="17" t="inlineStr">
        <is>
          <t>Partial</t>
        </is>
      </c>
      <c r="G34" s="21" t="inlineStr">
        <is>
          <t>Audit RBAC across all systems; implement access controls in legacy apps; extend RBAC to AI system data</t>
        </is>
      </c>
      <c r="H34" s="22" t="inlineStr">
        <is>
          <t>High</t>
        </is>
      </c>
      <c r="I34" s="21" t="inlineStr">
        <is>
          <t>RBAC audit results; remediation evidence; AI system access control documentation</t>
        </is>
      </c>
      <c r="J34" s="20" t="inlineStr">
        <is>
          <t>2026-10-01</t>
        </is>
      </c>
    </row>
    <row r="35" ht="60" customHeight="1">
      <c r="A35" s="23" t="inlineStr">
        <is>
          <t>A.8.5</t>
        </is>
      </c>
      <c r="B35" s="24" t="inlineStr">
        <is>
          <t>Access Control</t>
        </is>
      </c>
      <c r="C35" s="24" t="inlineStr">
        <is>
          <t>Secure authentication</t>
        </is>
      </c>
      <c r="D35" s="24" t="inlineStr">
        <is>
          <t>MFA deployed on cloud admin portals and VPN. Strong password policy enforced.</t>
        </is>
      </c>
      <c r="E35" s="24" t="inlineStr">
        <is>
          <t>MFA not enforced on all internal applications. Some legacy systems only support password authentication.</t>
        </is>
      </c>
      <c r="F35" s="17" t="inlineStr">
        <is>
          <t>Partial</t>
        </is>
      </c>
      <c r="G35" s="24" t="inlineStr">
        <is>
          <t>Enforce MFA across all applications where technically feasible; document exceptions with compensating controls</t>
        </is>
      </c>
      <c r="H35" s="22" t="inlineStr">
        <is>
          <t>High</t>
        </is>
      </c>
      <c r="I35" s="24" t="inlineStr">
        <is>
          <t>MFA deployment scope evidence; exception register with compensating controls</t>
        </is>
      </c>
      <c r="J35" s="23" t="inlineStr">
        <is>
          <t>2026-08-31</t>
        </is>
      </c>
    </row>
    <row r="36" ht="60" customHeight="1">
      <c r="A36" s="20" t="inlineStr">
        <is>
          <t>A.8.7</t>
        </is>
      </c>
      <c r="B36" s="21" t="inlineStr">
        <is>
          <t>Malware Protection</t>
        </is>
      </c>
      <c r="C36" s="21" t="inlineStr">
        <is>
          <t>Protection against malware</t>
        </is>
      </c>
      <c r="D36" s="21" t="inlineStr">
        <is>
          <t>Endpoint protection deployed on all managed devices. Email filtering in place.</t>
        </is>
      </c>
      <c r="E36" s="21" t="inlineStr">
        <is>
          <t>No EDR solution. Personal/unmanaged devices (BYOD) not covered. AI-generated malware not addressed in threat model.</t>
        </is>
      </c>
      <c r="F36" s="17" t="inlineStr">
        <is>
          <t>Partial</t>
        </is>
      </c>
      <c r="G36" s="21" t="inlineStr">
        <is>
          <t>Deploy EDR solution; implement BYOD policy with MDM controls; update threat model to include AI-generated malware</t>
        </is>
      </c>
      <c r="H36" s="22" t="inlineStr">
        <is>
          <t>High</t>
        </is>
      </c>
      <c r="I36" s="21" t="inlineStr">
        <is>
          <t>EDR deployment evidence; BYOD policy; MDM configuration; updated threat model</t>
        </is>
      </c>
      <c r="J36" s="20" t="inlineStr">
        <is>
          <t>2026-09-15</t>
        </is>
      </c>
    </row>
    <row r="37" ht="60" customHeight="1">
      <c r="A37" s="23" t="inlineStr">
        <is>
          <t>A.8.8</t>
        </is>
      </c>
      <c r="B37" s="24" t="inlineStr">
        <is>
          <t>Vulnerability Management</t>
        </is>
      </c>
      <c r="C37" s="24" t="inlineStr">
        <is>
          <t>Management of technical vulnerabilities</t>
        </is>
      </c>
      <c r="D37" s="24" t="inlineStr">
        <is>
          <t>Monthly patching cycle in place. Vulnerability scanner used quarterly.</t>
        </is>
      </c>
      <c r="E37" s="24" t="inlineStr">
        <is>
          <t>Critical patches regularly exceed 30-day SLA. No continuous vulnerability scanning. AI/ML library dependencies not included in vulnerability scope.</t>
        </is>
      </c>
      <c r="F37" s="17" t="inlineStr">
        <is>
          <t>Partial</t>
        </is>
      </c>
      <c r="G37" s="24" t="inlineStr">
        <is>
          <t>Enforce 14-day SLA for critical patches; implement continuous scanning; extend scope to AI/ML dependencies</t>
        </is>
      </c>
      <c r="H37" s="22" t="inlineStr">
        <is>
          <t>High</t>
        </is>
      </c>
      <c r="I37" s="24" t="inlineStr">
        <is>
          <t>Patch compliance metrics; SLA evidence; scanner configuration showing AI/ML library coverage</t>
        </is>
      </c>
      <c r="J37" s="23" t="inlineStr">
        <is>
          <t>2026-08-31</t>
        </is>
      </c>
    </row>
    <row r="38" ht="60" customHeight="1">
      <c r="A38" s="20" t="inlineStr">
        <is>
          <t>A.8.9</t>
        </is>
      </c>
      <c r="B38" s="21" t="inlineStr">
        <is>
          <t>Configuration Management</t>
        </is>
      </c>
      <c r="C38" s="21" t="inlineStr">
        <is>
          <t>Configuration management</t>
        </is>
      </c>
      <c r="D38" s="21" t="inlineStr">
        <is>
          <t>Basic configuration standards exist for servers.</t>
        </is>
      </c>
      <c r="E38" s="21" t="inlineStr">
        <is>
          <t>No configuration management database (CMDB). No baseline configurations for cloud resources or AI systems. Configuration drift not monitored.</t>
        </is>
      </c>
      <c r="F38" s="13" t="inlineStr">
        <is>
          <t>Non-Compliant</t>
        </is>
      </c>
      <c r="G38" s="21" t="inlineStr">
        <is>
          <t>Implement CMDB; define baseline configurations for all system types including cloud and AI; monitor for drift</t>
        </is>
      </c>
      <c r="H38" s="22" t="inlineStr">
        <is>
          <t>High</t>
        </is>
      </c>
      <c r="I38" s="21" t="inlineStr">
        <is>
          <t>CMDB implementation evidence; baseline configuration documents; drift monitoring evidence</t>
        </is>
      </c>
      <c r="J38" s="20" t="inlineStr">
        <is>
          <t>2026-10-31</t>
        </is>
      </c>
    </row>
    <row r="39" ht="60" customHeight="1">
      <c r="A39" s="23" t="inlineStr">
        <is>
          <t>A.8.10</t>
        </is>
      </c>
      <c r="B39" s="24" t="inlineStr">
        <is>
          <t>Information Deletion</t>
        </is>
      </c>
      <c r="C39" s="24" t="inlineStr">
        <is>
          <t>Information deletion</t>
        </is>
      </c>
      <c r="D39" s="24" t="inlineStr">
        <is>
          <t>Data retention policy exists for customer data.</t>
        </is>
      </c>
      <c r="E39" s="24" t="inlineStr">
        <is>
          <t>Policy not consistently applied. No automated deletion process. AI training data retention not addressed.</t>
        </is>
      </c>
      <c r="F39" s="17" t="inlineStr">
        <is>
          <t>Partial</t>
        </is>
      </c>
      <c r="G39" s="24" t="inlineStr">
        <is>
          <t>Implement automated data deletion controls; extend policy to cover AI training data lifecycle</t>
        </is>
      </c>
      <c r="H39" s="16" t="inlineStr">
        <is>
          <t>Medium</t>
        </is>
      </c>
      <c r="I39" s="24" t="inlineStr">
        <is>
          <t>Deletion policy; automated deletion evidence; AI training data retention schedule</t>
        </is>
      </c>
      <c r="J39" s="23" t="inlineStr">
        <is>
          <t>2026-11-30</t>
        </is>
      </c>
    </row>
    <row r="40" ht="60" customHeight="1">
      <c r="A40" s="20" t="inlineStr">
        <is>
          <t>A.8.12</t>
        </is>
      </c>
      <c r="B40" s="21" t="inlineStr">
        <is>
          <t>Data Leakage Prevention</t>
        </is>
      </c>
      <c r="C40" s="21" t="inlineStr">
        <is>
          <t>Data leakage prevention</t>
        </is>
      </c>
      <c r="D40" s="21" t="inlineStr">
        <is>
          <t>Basic email filtering exists.</t>
        </is>
      </c>
      <c r="E40" s="21" t="inlineStr">
        <is>
          <t>No DLP solution. No controls preventing sensitive data entry into external AI tools (ChatGPT, Copilot). No monitoring of data exfiltration attempts.</t>
        </is>
      </c>
      <c r="F40" s="13" t="inlineStr">
        <is>
          <t>Non-Compliant</t>
        </is>
      </c>
      <c r="G40" s="21" t="inlineStr">
        <is>
          <t>Implement DLP solution; create specific rules blocking sensitive data input to external AI tools; monitor and alert on policy violations</t>
        </is>
      </c>
      <c r="H40" s="13" t="inlineStr">
        <is>
          <t>Critical</t>
        </is>
      </c>
      <c r="I40" s="21" t="inlineStr">
        <is>
          <t>DLP solution deployment; policy configuration; alert and incident logs</t>
        </is>
      </c>
      <c r="J40" s="20" t="inlineStr">
        <is>
          <t>2026-09-01</t>
        </is>
      </c>
    </row>
    <row r="41" ht="60" customHeight="1">
      <c r="A41" s="23" t="inlineStr">
        <is>
          <t>A.8.15</t>
        </is>
      </c>
      <c r="B41" s="24" t="inlineStr">
        <is>
          <t>Logging and Monitoring</t>
        </is>
      </c>
      <c r="C41" s="24" t="inlineStr">
        <is>
          <t>Logging</t>
        </is>
      </c>
      <c r="D41" s="24" t="inlineStr">
        <is>
          <t>System logs collected from servers and network devices.</t>
        </is>
      </c>
      <c r="E41" s="24" t="inlineStr">
        <is>
          <t>Log retention period inconsistent. AI system inputs/outputs not logged. No centralised SIEM. Logs not regularly reviewed.</t>
        </is>
      </c>
      <c r="F41" s="17" t="inlineStr">
        <is>
          <t>Partial</t>
        </is>
      </c>
      <c r="G41" s="24" t="inlineStr">
        <is>
          <t>Implement SIEM; standardise log retention; extend logging to AI systems; establish log review process</t>
        </is>
      </c>
      <c r="H41" s="22" t="inlineStr">
        <is>
          <t>High</t>
        </is>
      </c>
      <c r="I41" s="24" t="inlineStr">
        <is>
          <t>SIEM deployment evidence; log retention configuration; AI system logging evidence; review records</t>
        </is>
      </c>
      <c r="J41" s="23" t="inlineStr">
        <is>
          <t>2026-09-30</t>
        </is>
      </c>
    </row>
    <row r="42" ht="60" customHeight="1">
      <c r="A42" s="20" t="inlineStr">
        <is>
          <t>A.8.16</t>
        </is>
      </c>
      <c r="B42" s="21" t="inlineStr">
        <is>
          <t>Logging and Monitoring</t>
        </is>
      </c>
      <c r="C42" s="21" t="inlineStr">
        <is>
          <t>Monitoring activities</t>
        </is>
      </c>
      <c r="D42" s="21" t="inlineStr">
        <is>
          <t>Basic network monitoring in place.</t>
        </is>
      </c>
      <c r="E42" s="21" t="inlineStr">
        <is>
          <t>No 24/7 monitoring capability. No anomaly detection. AI system behaviour not monitored for unusual patterns.</t>
        </is>
      </c>
      <c r="F42" s="17" t="inlineStr">
        <is>
          <t>Partial</t>
        </is>
      </c>
      <c r="G42" s="21" t="inlineStr">
        <is>
          <t>Define monitoring strategy; implement anomaly detection; include AI system behavioural monitoring</t>
        </is>
      </c>
      <c r="H42" s="22" t="inlineStr">
        <is>
          <t>High</t>
        </is>
      </c>
      <c r="I42" s="21" t="inlineStr">
        <is>
          <t>Monitoring strategy document; anomaly detection configuration; AI monitoring evidence</t>
        </is>
      </c>
      <c r="J42" s="20" t="inlineStr">
        <is>
          <t>2026-10-31</t>
        </is>
      </c>
    </row>
    <row r="43" ht="60" customHeight="1">
      <c r="A43" s="23" t="inlineStr">
        <is>
          <t>A.8.23</t>
        </is>
      </c>
      <c r="B43" s="24" t="inlineStr">
        <is>
          <t>Web Filtering</t>
        </is>
      </c>
      <c r="C43" s="24" t="inlineStr">
        <is>
          <t>Web filtering</t>
        </is>
      </c>
      <c r="D43" s="24" t="inlineStr">
        <is>
          <t>Basic web filtering on corporate network.</t>
        </is>
      </c>
      <c r="E43" s="24" t="inlineStr">
        <is>
          <t>Web filtering not applied to remote workers. No filtering rules for AI tool access categories.</t>
        </is>
      </c>
      <c r="F43" s="17" t="inlineStr">
        <is>
          <t>Partial</t>
        </is>
      </c>
      <c r="G43" s="24" t="inlineStr">
        <is>
          <t>Extend web filtering to remote workers via cloud-based proxy; add AI tool access categories</t>
        </is>
      </c>
      <c r="H43" s="16" t="inlineStr">
        <is>
          <t>Medium</t>
        </is>
      </c>
      <c r="I43" s="24" t="inlineStr">
        <is>
          <t>Web filtering policy; remote worker coverage evidence; AI category configuration</t>
        </is>
      </c>
      <c r="J43" s="23" t="inlineStr">
        <is>
          <t>2026-10-31</t>
        </is>
      </c>
    </row>
    <row r="44" ht="60" customHeight="1">
      <c r="A44" s="20" t="inlineStr">
        <is>
          <t>A.8.28</t>
        </is>
      </c>
      <c r="B44" s="21" t="inlineStr">
        <is>
          <t>Secure Coding</t>
        </is>
      </c>
      <c r="C44" s="21" t="inlineStr">
        <is>
          <t>Secure development</t>
        </is>
      </c>
      <c r="D44" s="21" t="inlineStr">
        <is>
          <t>Secure coding guidelines exist. SAST tool used in CI/CD.</t>
        </is>
      </c>
      <c r="E44" s="21" t="inlineStr">
        <is>
          <t>Guidelines not consistently followed. No security training for developers. SAST results not always remediated before release.</t>
        </is>
      </c>
      <c r="F44" s="17" t="inlineStr">
        <is>
          <t>Partial</t>
        </is>
      </c>
      <c r="G44" s="21" t="inlineStr">
        <is>
          <t>Make SAST gate mandatory before release; provide secure coding training; track remediation of SAST findings</t>
        </is>
      </c>
      <c r="H44" s="22" t="inlineStr">
        <is>
          <t>High</t>
        </is>
      </c>
      <c r="I44" s="21" t="inlineStr">
        <is>
          <t>SAST gate configuration; developer training records; SAST remediation tracking</t>
        </is>
      </c>
      <c r="J44" s="20" t="inlineStr">
        <is>
          <t>2026-09-15</t>
        </is>
      </c>
    </row>
    <row r="45" ht="60" customHeight="1">
      <c r="A45" s="23" t="inlineStr">
        <is>
          <t>A.5.24</t>
        </is>
      </c>
      <c r="B45" s="24" t="inlineStr">
        <is>
          <t>Incident Management</t>
        </is>
      </c>
      <c r="C45" s="24" t="inlineStr">
        <is>
          <t>Information security incident management planning and preparation</t>
        </is>
      </c>
      <c r="D45" s="24" t="inlineStr">
        <is>
          <t>Incident response plan exists. IR team defined.</t>
        </is>
      </c>
      <c r="E45" s="24" t="inlineStr">
        <is>
          <t>IR plan not tested in last 24 months. AI-specific incidents (hallucination, poisoning, prompt injection) not covered.</t>
        </is>
      </c>
      <c r="F45" s="17" t="inlineStr">
        <is>
          <t>Partial</t>
        </is>
      </c>
      <c r="G45" s="24" t="inlineStr">
        <is>
          <t>Test IR plan via tabletop exercise; add AI incident scenarios; update escalation procedures</t>
        </is>
      </c>
      <c r="H45" s="22" t="inlineStr">
        <is>
          <t>High</t>
        </is>
      </c>
      <c r="I45" s="24" t="inlineStr">
        <is>
          <t>IR plan document; tabletop exercise report; updated AI incident procedures</t>
        </is>
      </c>
      <c r="J45" s="23" t="inlineStr">
        <is>
          <t>2026-09-30</t>
        </is>
      </c>
    </row>
    <row r="46" ht="60" customHeight="1">
      <c r="A46" s="20" t="inlineStr">
        <is>
          <t>A.5.25</t>
        </is>
      </c>
      <c r="B46" s="21" t="inlineStr">
        <is>
          <t>Incident Management</t>
        </is>
      </c>
      <c r="C46" s="21" t="inlineStr">
        <is>
          <t>Assessment and decision on information security events</t>
        </is>
      </c>
      <c r="D46" s="21" t="inlineStr">
        <is>
          <t>Basic severity classification exists.</t>
        </is>
      </c>
      <c r="E46" s="21" t="inlineStr">
        <is>
          <t>Classification criteria not documented for AI system events. No triage process for AI-specific security events.</t>
        </is>
      </c>
      <c r="F46" s="17" t="inlineStr">
        <is>
          <t>Partial</t>
        </is>
      </c>
      <c r="G46" s="21" t="inlineStr">
        <is>
          <t>Document AI event classification criteria; train SOC team on AI incident triage</t>
        </is>
      </c>
      <c r="H46" s="16" t="inlineStr">
        <is>
          <t>Medium</t>
        </is>
      </c>
      <c r="I46" s="21" t="inlineStr">
        <is>
          <t>Updated classification criteria; SOC training records</t>
        </is>
      </c>
      <c r="J46" s="20" t="inlineStr">
        <is>
          <t>2026-10-31</t>
        </is>
      </c>
    </row>
    <row r="47" ht="60" customHeight="1">
      <c r="A47" s="23" t="inlineStr">
        <is>
          <t>A.5.26</t>
        </is>
      </c>
      <c r="B47" s="24" t="inlineStr">
        <is>
          <t>Incident Management</t>
        </is>
      </c>
      <c r="C47" s="24" t="inlineStr">
        <is>
          <t>Response to information security incidents</t>
        </is>
      </c>
      <c r="D47" s="24" t="inlineStr">
        <is>
          <t>IR procedures exist for traditional incidents.</t>
        </is>
      </c>
      <c r="E47" s="24" t="inlineStr">
        <is>
          <t>No response procedures for AI-specific incidents. No defined process for model rollback or containment of compromised AI systems.</t>
        </is>
      </c>
      <c r="F47" s="13" t="inlineStr">
        <is>
          <t>Non-Compliant</t>
        </is>
      </c>
      <c r="G47" s="24" t="inlineStr">
        <is>
          <t>Develop AI incident response playbook covering: model rollback, prompt injection containment, data poisoning response</t>
        </is>
      </c>
      <c r="H47" s="22" t="inlineStr">
        <is>
          <t>High</t>
        </is>
      </c>
      <c r="I47" s="24" t="inlineStr">
        <is>
          <t>AI incident response playbook; tabletop exercise evidence</t>
        </is>
      </c>
      <c r="J47" s="23" t="inlineStr">
        <is>
          <t>2026-10-01</t>
        </is>
      </c>
    </row>
    <row r="48" ht="60" customHeight="1">
      <c r="A48" s="20" t="inlineStr">
        <is>
          <t>A.5.19</t>
        </is>
      </c>
      <c r="B48" s="21" t="inlineStr">
        <is>
          <t>Supplier Relationships</t>
        </is>
      </c>
      <c r="C48" s="21" t="inlineStr">
        <is>
          <t>Information security in supplier relationships</t>
        </is>
      </c>
      <c r="D48" s="21" t="inlineStr">
        <is>
          <t>Standard NDA in place with all suppliers. Basic vendor onboarding checklist used.</t>
        </is>
      </c>
      <c r="E48" s="21" t="inlineStr">
        <is>
          <t>No information security requirements in supplier contracts. No AI-specific vendor risk assessment. No monitoring of supplier security performance.</t>
        </is>
      </c>
      <c r="F48" s="17" t="inlineStr">
        <is>
          <t>Partial</t>
        </is>
      </c>
      <c r="G48" s="21" t="inlineStr">
        <is>
          <t>Add IS requirements to all new supplier contracts; create AI vendor risk questionnaire; implement supplier monitoring</t>
        </is>
      </c>
      <c r="H48" s="22" t="inlineStr">
        <is>
          <t>High</t>
        </is>
      </c>
      <c r="I48" s="21" t="inlineStr">
        <is>
          <t>Updated contract templates; AI vendor questionnaire; supplier assessment records</t>
        </is>
      </c>
      <c r="J48" s="20" t="inlineStr">
        <is>
          <t>2026-09-01</t>
        </is>
      </c>
    </row>
    <row r="49" ht="60" customHeight="1">
      <c r="A49" s="23" t="inlineStr">
        <is>
          <t>A.5.21</t>
        </is>
      </c>
      <c r="B49" s="24" t="inlineStr">
        <is>
          <t>Supplier Relationships</t>
        </is>
      </c>
      <c r="C49" s="24" t="inlineStr">
        <is>
          <t>Managing information security in the ICT supply chain</t>
        </is>
      </c>
      <c r="D49" s="24" t="inlineStr">
        <is>
          <t>Key ICT suppliers identified.</t>
        </is>
      </c>
      <c r="E49" s="24" t="inlineStr">
        <is>
          <t>No software bill of materials (SBOM) for critical applications. AI/ML library supply chain risk not assessed.</t>
        </is>
      </c>
      <c r="F49" s="13" t="inlineStr">
        <is>
          <t>Non-Compliant</t>
        </is>
      </c>
      <c r="G49" s="24" t="inlineStr">
        <is>
          <t>Implement SBOM for all critical applications; conduct AI supply chain risk assessment; monitor open-source dependencies</t>
        </is>
      </c>
      <c r="H49" s="22" t="inlineStr">
        <is>
          <t>High</t>
        </is>
      </c>
      <c r="I49" s="24" t="inlineStr">
        <is>
          <t>SBOM for critical applications; supply chain risk assessment; dependency monitoring evidence</t>
        </is>
      </c>
      <c r="J49" s="23" t="inlineStr">
        <is>
          <t>2026-10-31</t>
        </is>
      </c>
    </row>
    <row r="50" ht="60" customHeight="1">
      <c r="A50" s="20" t="inlineStr">
        <is>
          <t>A.5.31</t>
        </is>
      </c>
      <c r="B50" s="21" t="inlineStr">
        <is>
          <t>Compliance</t>
        </is>
      </c>
      <c r="C50" s="21" t="inlineStr">
        <is>
          <t>Legal, statutory, regulatory and contractual requirements</t>
        </is>
      </c>
      <c r="D50" s="21" t="inlineStr">
        <is>
          <t>Legal team maintains compliance register for privacy laws.</t>
        </is>
      </c>
      <c r="E50" s="21" t="inlineStr">
        <is>
          <t>ISMS compliance requirements not systematically tracked. EU AI Act obligations not assessed. ISO 27001 compliance register absent.</t>
        </is>
      </c>
      <c r="F50" s="17" t="inlineStr">
        <is>
          <t>Partial</t>
        </is>
      </c>
      <c r="G50" s="21" t="inlineStr">
        <is>
          <t>Create comprehensive IS compliance register including GDPR, EU AI Act, and ISO 27001 requirements</t>
        </is>
      </c>
      <c r="H50" s="22" t="inlineStr">
        <is>
          <t>High</t>
        </is>
      </c>
      <c r="I50" s="21" t="inlineStr">
        <is>
          <t>IS compliance register; EU AI Act assessment; legal review sign-off</t>
        </is>
      </c>
      <c r="J50" s="20" t="inlineStr">
        <is>
          <t>2026-09-15</t>
        </is>
      </c>
    </row>
    <row r="51" ht="60" customHeight="1">
      <c r="A51" s="23" t="inlineStr">
        <is>
          <t>A.5.32</t>
        </is>
      </c>
      <c r="B51" s="24" t="inlineStr">
        <is>
          <t>Compliance</t>
        </is>
      </c>
      <c r="C51" s="24" t="inlineStr">
        <is>
          <t>Intellectual property rights</t>
        </is>
      </c>
      <c r="D51" s="24" t="inlineStr">
        <is>
          <t>Software licensing tracked in asset register.</t>
        </is>
      </c>
      <c r="E51" s="24" t="inlineStr">
        <is>
          <t>AI-generated content IP ownership not addressed. No policy on use of open-source AI models and their licensing implications.</t>
        </is>
      </c>
      <c r="F51" s="17" t="inlineStr">
        <is>
          <t>Partial</t>
        </is>
      </c>
      <c r="G51" s="24" t="inlineStr">
        <is>
          <t>Add AI-generated content and open-source AI licensing to IP policy</t>
        </is>
      </c>
      <c r="H51" s="16" t="inlineStr">
        <is>
          <t>Medium</t>
        </is>
      </c>
      <c r="I51" s="24" t="inlineStr">
        <is>
          <t>Updated IP policy covering AI content and model licensing</t>
        </is>
      </c>
      <c r="J51" s="23" t="inlineStr">
        <is>
          <t>2026-11-30</t>
        </is>
      </c>
    </row>
    <row r="52" ht="60" customHeight="1">
      <c r="A52" s="20" t="inlineStr">
        <is>
          <t>A.5.33</t>
        </is>
      </c>
      <c r="B52" s="21" t="inlineStr">
        <is>
          <t>Compliance</t>
        </is>
      </c>
      <c r="C52" s="21" t="inlineStr">
        <is>
          <t>Protection of records</t>
        </is>
      </c>
      <c r="D52" s="21" t="inlineStr">
        <is>
          <t>Records retention policy exists for business records.</t>
        </is>
      </c>
      <c r="E52" s="21" t="inlineStr">
        <is>
          <t>IS-specific records (audit logs, access reviews, risk assessments) retention periods not defined. AI system decision logs not covered.</t>
        </is>
      </c>
      <c r="F52" s="17" t="inlineStr">
        <is>
          <t>Partial</t>
        </is>
      </c>
      <c r="G52" s="21" t="inlineStr">
        <is>
          <t>Define retention periods for all IS records including AI system logs; implement automated retention controls</t>
        </is>
      </c>
      <c r="H52" s="16" t="inlineStr">
        <is>
          <t>Medium</t>
        </is>
      </c>
      <c r="I52" s="21" t="inlineStr">
        <is>
          <t>Updated records retention schedule including IS and AI records; automated retention evidence</t>
        </is>
      </c>
      <c r="J52" s="20" t="inlineStr">
        <is>
          <t>2026-10-31</t>
        </is>
      </c>
    </row>
    <row r="53" ht="60" customHeight="1">
      <c r="A53" s="23" t="inlineStr">
        <is>
          <t>A.5.34</t>
        </is>
      </c>
      <c r="B53" s="24" t="inlineStr">
        <is>
          <t>Compliance</t>
        </is>
      </c>
      <c r="C53" s="24" t="inlineStr">
        <is>
          <t>Privacy and protection of PII</t>
        </is>
      </c>
      <c r="D53" s="24" t="inlineStr">
        <is>
          <t>Privacy policy published. GDPR compliance programme in place.</t>
        </is>
      </c>
      <c r="E53" s="24" t="inlineStr">
        <is>
          <t>AI data processing activities not included in Records of Processing Activities (ROPA). No DPIA conducted for AI systems processing personal data.</t>
        </is>
      </c>
      <c r="F53" s="13" t="inlineStr">
        <is>
          <t>Non-Compliant</t>
        </is>
      </c>
      <c r="G53" s="24" t="inlineStr">
        <is>
          <t>Update ROPA to include all AI data processing; conduct DPIA for all AI systems processing personal data</t>
        </is>
      </c>
      <c r="H53" s="22" t="inlineStr">
        <is>
          <t>High</t>
        </is>
      </c>
      <c r="I53" s="24" t="inlineStr">
        <is>
          <t>Updated ROPA; completed DPIAs for AI systems; DPO review sign-off</t>
        </is>
      </c>
      <c r="J53" s="23" t="inlineStr">
        <is>
          <t>2026-09-01</t>
        </is>
      </c>
    </row>
    <row r="54" ht="60" customHeight="1">
      <c r="A54" s="20" t="inlineStr">
        <is>
          <t>9.1</t>
        </is>
      </c>
      <c r="B54" s="21" t="inlineStr">
        <is>
          <t>Performance Evaluation</t>
        </is>
      </c>
      <c r="C54" s="21" t="inlineStr">
        <is>
          <t>Monitoring, measurement, analysis and evaluation</t>
        </is>
      </c>
      <c r="D54" s="21" t="inlineStr">
        <is>
          <t>No formal IS metrics programme.</t>
        </is>
      </c>
      <c r="E54" s="21" t="inlineStr">
        <is>
          <t>No IS KPIs defined or tracked. No measurement of ISMS effectiveness. Management receives no IS performance data.</t>
        </is>
      </c>
      <c r="F54" s="13" t="inlineStr">
        <is>
          <t>Non-Compliant</t>
        </is>
      </c>
      <c r="G54" s="21" t="inlineStr">
        <is>
          <t>Define IS KPI framework; implement metrics dashboard; report to management monthly</t>
        </is>
      </c>
      <c r="H54" s="22" t="inlineStr">
        <is>
          <t>High</t>
        </is>
      </c>
      <c r="I54" s="21" t="inlineStr">
        <is>
          <t>IS KPI framework document; metrics dashboard; management reporting evidence</t>
        </is>
      </c>
      <c r="J54" s="20" t="inlineStr">
        <is>
          <t>2026-09-01</t>
        </is>
      </c>
    </row>
    <row r="55" ht="60" customHeight="1">
      <c r="A55" s="23" t="inlineStr">
        <is>
          <t>9.2</t>
        </is>
      </c>
      <c r="B55" s="24" t="inlineStr">
        <is>
          <t>Performance Evaluation</t>
        </is>
      </c>
      <c r="C55" s="24" t="inlineStr">
        <is>
          <t>Internal audit</t>
        </is>
      </c>
      <c r="D55" s="24" t="inlineStr">
        <is>
          <t>No internal IS audit has ever been conducted.</t>
        </is>
      </c>
      <c r="E55" s="24" t="inlineStr">
        <is>
          <t>No internal audit programme. No audit schedule. No evidence of systematic ISMS evaluation. This is a fundamental ISO 27001 requirement.</t>
        </is>
      </c>
      <c r="F55" s="13" t="inlineStr">
        <is>
          <t>Non-Compliant</t>
        </is>
      </c>
      <c r="G55" s="24" t="inlineStr">
        <is>
          <t>Establish internal audit programme; conduct initial IS audit; document findings and corrective actions</t>
        </is>
      </c>
      <c r="H55" s="13" t="inlineStr">
        <is>
          <t>Critical</t>
        </is>
      </c>
      <c r="I55" s="24" t="inlineStr">
        <is>
          <t>Audit programme document; completed audit report; corrective action plan; management review evidence</t>
        </is>
      </c>
      <c r="J55" s="23" t="inlineStr">
        <is>
          <t>2026-10-01</t>
        </is>
      </c>
    </row>
    <row r="56" ht="60" customHeight="1">
      <c r="A56" s="20" t="inlineStr">
        <is>
          <t>9.3</t>
        </is>
      </c>
      <c r="B56" s="21" t="inlineStr">
        <is>
          <t>Performance Evaluation</t>
        </is>
      </c>
      <c r="C56" s="21" t="inlineStr">
        <is>
          <t>Management review</t>
        </is>
      </c>
      <c r="D56" s="21" t="inlineStr">
        <is>
          <t>IT security is occasionally discussed in board meetings.</t>
        </is>
      </c>
      <c r="E56" s="21" t="inlineStr">
        <is>
          <t>No formal ISMS management review. No defined agenda, inputs, or outputs for management review of the ISMS.</t>
        </is>
      </c>
      <c r="F56" s="13" t="inlineStr">
        <is>
          <t>Non-Compliant</t>
        </is>
      </c>
      <c r="G56" s="21" t="inlineStr">
        <is>
          <t>Schedule formal annual ISMS management review; define agenda and required inputs/outputs; document outcomes</t>
        </is>
      </c>
      <c r="H56" s="22" t="inlineStr">
        <is>
          <t>High</t>
        </is>
      </c>
      <c r="I56" s="21" t="inlineStr">
        <is>
          <t>Management review meeting minutes; documented inputs and outputs; action items</t>
        </is>
      </c>
      <c r="J56" s="20" t="inlineStr">
        <is>
          <t>2026-10-31</t>
        </is>
      </c>
    </row>
    <row r="57" ht="60" customHeight="1">
      <c r="A57" s="23" t="inlineStr">
        <is>
          <t>10.1</t>
        </is>
      </c>
      <c r="B57" s="24" t="inlineStr">
        <is>
          <t>Improvement</t>
        </is>
      </c>
      <c r="C57" s="24" t="inlineStr">
        <is>
          <t>Continual improvement</t>
        </is>
      </c>
      <c r="D57" s="24" t="inlineStr">
        <is>
          <t>No formal continual improvement process for ISMS.</t>
        </is>
      </c>
      <c r="E57" s="24" t="inlineStr">
        <is>
          <t>No mechanism to identify and act on ISMS improvement opportunities. No improvement register.</t>
        </is>
      </c>
      <c r="F57" s="13" t="inlineStr">
        <is>
          <t>Non-Compliant</t>
        </is>
      </c>
      <c r="G57" s="24" t="inlineStr">
        <is>
          <t>Implement continual improvement process; maintain improvement register; link to management review outputs</t>
        </is>
      </c>
      <c r="H57" s="16" t="inlineStr">
        <is>
          <t>Medium</t>
        </is>
      </c>
      <c r="I57" s="24" t="inlineStr">
        <is>
          <t>Continual improvement process document; improvement register</t>
        </is>
      </c>
      <c r="J57" s="23" t="inlineStr">
        <is>
          <t>2026-11-30</t>
        </is>
      </c>
    </row>
    <row r="58" ht="60" customHeight="1">
      <c r="A58" s="20" t="inlineStr">
        <is>
          <t>10.2</t>
        </is>
      </c>
      <c r="B58" s="21" t="inlineStr">
        <is>
          <t>Improvement</t>
        </is>
      </c>
      <c r="C58" s="21" t="inlineStr">
        <is>
          <t>Nonconformity and corrective action</t>
        </is>
      </c>
      <c r="D58" s="21" t="inlineStr">
        <is>
          <t>IT incidents tracked in helpdesk system.</t>
        </is>
      </c>
      <c r="E58" s="21" t="inlineStr">
        <is>
          <t>IS nonconformities not formally tracked. No root cause analysis process for IS incidents. No corrective action tracking.</t>
        </is>
      </c>
      <c r="F58" s="13" t="inlineStr">
        <is>
          <t>Non-Compliant</t>
        </is>
      </c>
      <c r="G58" s="21" t="inlineStr">
        <is>
          <t>Implement nonconformity and corrective action procedure; integrate with incident management process</t>
        </is>
      </c>
      <c r="H58" s="22" t="inlineStr">
        <is>
          <t>High</t>
        </is>
      </c>
      <c r="I58" s="21" t="inlineStr">
        <is>
          <t>Nonconformity procedure; corrective action register; root cause analysis examples</t>
        </is>
      </c>
      <c r="J58" s="20" t="inlineStr">
        <is>
          <t>2026-10-01</t>
        </is>
      </c>
    </row>
  </sheetData>
  <autoFilter ref="A3:J58"/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4" customWidth="1" min="4" max="4"/>
    <col width="14" customWidth="1" min="5" max="5"/>
    <col width="22" customWidth="1" min="6" max="6"/>
    <col width="18" customWidth="1" min="7" max="7"/>
  </cols>
  <sheetData>
    <row r="1" ht="36" customHeight="1">
      <c r="A1" s="8" t="inlineStr">
        <is>
          <t>Remediation Roadmap — Prioritised Action Plan</t>
        </is>
      </c>
    </row>
    <row r="3" ht="32" customHeight="1">
      <c r="A3" s="19" t="inlineStr">
        <is>
          <t>Control ID</t>
        </is>
      </c>
      <c r="B3" s="19" t="inlineStr">
        <is>
          <t>Recommended Action</t>
        </is>
      </c>
      <c r="C3" s="19" t="inlineStr">
        <is>
          <t>Priority</t>
        </is>
      </c>
      <c r="D3" s="19" t="inlineStr">
        <is>
          <t>Effort</t>
        </is>
      </c>
      <c r="E3" s="19" t="inlineStr">
        <is>
          <t>Timeline</t>
        </is>
      </c>
      <c r="F3" s="19" t="inlineStr">
        <is>
          <t>Owner</t>
        </is>
      </c>
      <c r="G3" s="19" t="inlineStr">
        <is>
          <t>Status</t>
        </is>
      </c>
    </row>
    <row r="4" ht="44" customHeight="1">
      <c r="A4" s="20" t="inlineStr">
        <is>
          <t>6.1 / 8.2</t>
        </is>
      </c>
      <c r="B4" s="21" t="inlineStr">
        <is>
          <t>Implement formal risk assessment methodology; conduct initial risk assessment; document risk register</t>
        </is>
      </c>
      <c r="C4" s="25" t="inlineStr">
        <is>
          <t>Critical</t>
        </is>
      </c>
      <c r="D4" s="20" t="inlineStr">
        <is>
          <t>High</t>
        </is>
      </c>
      <c r="E4" s="20" t="inlineStr">
        <is>
          <t>Month 1</t>
        </is>
      </c>
      <c r="F4" s="21" t="inlineStr">
        <is>
          <t>GRC Lead</t>
        </is>
      </c>
      <c r="G4" s="26" t="inlineStr">
        <is>
          <t>Not Started</t>
        </is>
      </c>
    </row>
    <row r="5" ht="44" customHeight="1">
      <c r="A5" s="23" t="inlineStr">
        <is>
          <t>8.3</t>
        </is>
      </c>
      <c r="B5" s="24" t="inlineStr">
        <is>
          <t>Develop risk treatment plan and Statement of Applicability (SoA)</t>
        </is>
      </c>
      <c r="C5" s="25" t="inlineStr">
        <is>
          <t>Critical</t>
        </is>
      </c>
      <c r="D5" s="23" t="inlineStr">
        <is>
          <t>High</t>
        </is>
      </c>
      <c r="E5" s="23" t="inlineStr">
        <is>
          <t>Month 1</t>
        </is>
      </c>
      <c r="F5" s="24" t="inlineStr">
        <is>
          <t>GRC Lead</t>
        </is>
      </c>
      <c r="G5" s="26" t="inlineStr">
        <is>
          <t>Not Started</t>
        </is>
      </c>
    </row>
    <row r="6" ht="44" customHeight="1">
      <c r="A6" s="20" t="inlineStr">
        <is>
          <t>9.2</t>
        </is>
      </c>
      <c r="B6" s="21" t="inlineStr">
        <is>
          <t>Establish internal audit programme; conduct initial IS audit</t>
        </is>
      </c>
      <c r="C6" s="25" t="inlineStr">
        <is>
          <t>Critical</t>
        </is>
      </c>
      <c r="D6" s="20" t="inlineStr">
        <is>
          <t>High</t>
        </is>
      </c>
      <c r="E6" s="20" t="inlineStr">
        <is>
          <t>Month 1-2</t>
        </is>
      </c>
      <c r="F6" s="21" t="inlineStr">
        <is>
          <t>GRC Lead / CISO</t>
        </is>
      </c>
      <c r="G6" s="26" t="inlineStr">
        <is>
          <t>Not Started</t>
        </is>
      </c>
    </row>
    <row r="7" ht="44" customHeight="1">
      <c r="A7" s="23" t="inlineStr">
        <is>
          <t>A.5.23</t>
        </is>
      </c>
      <c r="B7" s="24" t="inlineStr">
        <is>
          <t>Develop cloud security policy; deploy CSPM tool</t>
        </is>
      </c>
      <c r="C7" s="25" t="inlineStr">
        <is>
          <t>Critical</t>
        </is>
      </c>
      <c r="D7" s="23" t="inlineStr">
        <is>
          <t>Medium</t>
        </is>
      </c>
      <c r="E7" s="23" t="inlineStr">
        <is>
          <t>Month 1</t>
        </is>
      </c>
      <c r="F7" s="24" t="inlineStr">
        <is>
          <t>Cloud Security</t>
        </is>
      </c>
      <c r="G7" s="26" t="inlineStr">
        <is>
          <t>Not Started</t>
        </is>
      </c>
    </row>
    <row r="8" ht="44" customHeight="1">
      <c r="A8" s="20" t="inlineStr">
        <is>
          <t>A.8.12</t>
        </is>
      </c>
      <c r="B8" s="21" t="inlineStr">
        <is>
          <t>Implement DLP solution; block sensitive data to external AI tools</t>
        </is>
      </c>
      <c r="C8" s="25" t="inlineStr">
        <is>
          <t>Critical</t>
        </is>
      </c>
      <c r="D8" s="20" t="inlineStr">
        <is>
          <t>High</t>
        </is>
      </c>
      <c r="E8" s="20" t="inlineStr">
        <is>
          <t>Month 1-2</t>
        </is>
      </c>
      <c r="F8" s="21" t="inlineStr">
        <is>
          <t>IT Security</t>
        </is>
      </c>
      <c r="G8" s="26" t="inlineStr">
        <is>
          <t>Not Started</t>
        </is>
      </c>
    </row>
    <row r="9" ht="44" customHeight="1">
      <c r="A9" s="23" t="inlineStr">
        <is>
          <t>5.1</t>
        </is>
      </c>
      <c r="B9" s="24" t="inlineStr">
        <is>
          <t>Review IS policy; create domain sub-policies (cloud, AI, BYOD)</t>
        </is>
      </c>
      <c r="C9" s="27" t="inlineStr">
        <is>
          <t>High</t>
        </is>
      </c>
      <c r="D9" s="23" t="inlineStr">
        <is>
          <t>Medium</t>
        </is>
      </c>
      <c r="E9" s="23" t="inlineStr">
        <is>
          <t>Month 2</t>
        </is>
      </c>
      <c r="F9" s="24" t="inlineStr">
        <is>
          <t>CISO</t>
        </is>
      </c>
      <c r="G9" s="26" t="inlineStr">
        <is>
          <t>Not Started</t>
        </is>
      </c>
    </row>
    <row r="10" ht="44" customHeight="1">
      <c r="A10" s="20" t="inlineStr">
        <is>
          <t>5.7</t>
        </is>
      </c>
      <c r="B10" s="21" t="inlineStr">
        <is>
          <t>Implement threat intelligence programme</t>
        </is>
      </c>
      <c r="C10" s="27" t="inlineStr">
        <is>
          <t>High</t>
        </is>
      </c>
      <c r="D10" s="20" t="inlineStr">
        <is>
          <t>Medium</t>
        </is>
      </c>
      <c r="E10" s="20" t="inlineStr">
        <is>
          <t>Month 2</t>
        </is>
      </c>
      <c r="F10" s="21" t="inlineStr">
        <is>
          <t>SOC / GRC</t>
        </is>
      </c>
      <c r="G10" s="26" t="inlineStr">
        <is>
          <t>Not Started</t>
        </is>
      </c>
    </row>
    <row r="11" ht="44" customHeight="1">
      <c r="A11" s="23" t="inlineStr">
        <is>
          <t>5.9</t>
        </is>
      </c>
      <c r="B11" s="24" t="inlineStr">
        <is>
          <t>Extend asset register to include data assets and AI models</t>
        </is>
      </c>
      <c r="C11" s="27" t="inlineStr">
        <is>
          <t>High</t>
        </is>
      </c>
      <c r="D11" s="23" t="inlineStr">
        <is>
          <t>Low</t>
        </is>
      </c>
      <c r="E11" s="23" t="inlineStr">
        <is>
          <t>Month 2</t>
        </is>
      </c>
      <c r="F11" s="24" t="inlineStr">
        <is>
          <t>IT / GRC</t>
        </is>
      </c>
      <c r="G11" s="26" t="inlineStr">
        <is>
          <t>Not Started</t>
        </is>
      </c>
    </row>
    <row r="12" ht="44" customHeight="1">
      <c r="A12" s="20" t="inlineStr">
        <is>
          <t>5.10</t>
        </is>
      </c>
      <c r="B12" s="21" t="inlineStr">
        <is>
          <t>Update AUP to include AI tool usage guidance</t>
        </is>
      </c>
      <c r="C12" s="27" t="inlineStr">
        <is>
          <t>High</t>
        </is>
      </c>
      <c r="D12" s="20" t="inlineStr">
        <is>
          <t>Low</t>
        </is>
      </c>
      <c r="E12" s="20" t="inlineStr">
        <is>
          <t>Month 2</t>
        </is>
      </c>
      <c r="F12" s="21" t="inlineStr">
        <is>
          <t>HR / GRC</t>
        </is>
      </c>
      <c r="G12" s="26" t="inlineStr">
        <is>
          <t>Not Started</t>
        </is>
      </c>
    </row>
    <row r="13" ht="44" customHeight="1">
      <c r="A13" s="23" t="inlineStr">
        <is>
          <t>6.2</t>
        </is>
      </c>
      <c r="B13" s="24" t="inlineStr">
        <is>
          <t>Define IS objectives and KPIs</t>
        </is>
      </c>
      <c r="C13" s="27" t="inlineStr">
        <is>
          <t>High</t>
        </is>
      </c>
      <c r="D13" s="23" t="inlineStr">
        <is>
          <t>Low</t>
        </is>
      </c>
      <c r="E13" s="23" t="inlineStr">
        <is>
          <t>Month 2</t>
        </is>
      </c>
      <c r="F13" s="24" t="inlineStr">
        <is>
          <t>CISO</t>
        </is>
      </c>
      <c r="G13" s="26" t="inlineStr">
        <is>
          <t>Not Started</t>
        </is>
      </c>
    </row>
    <row r="14" ht="44" customHeight="1">
      <c r="A14" s="20" t="inlineStr">
        <is>
          <t>A.5.26</t>
        </is>
      </c>
      <c r="B14" s="21" t="inlineStr">
        <is>
          <t>Develop AI incident response playbook</t>
        </is>
      </c>
      <c r="C14" s="27" t="inlineStr">
        <is>
          <t>High</t>
        </is>
      </c>
      <c r="D14" s="20" t="inlineStr">
        <is>
          <t>Medium</t>
        </is>
      </c>
      <c r="E14" s="20" t="inlineStr">
        <is>
          <t>Month 2-3</t>
        </is>
      </c>
      <c r="F14" s="21" t="inlineStr">
        <is>
          <t>GRC / AI Security</t>
        </is>
      </c>
      <c r="G14" s="26" t="inlineStr">
        <is>
          <t>Not Started</t>
        </is>
      </c>
    </row>
    <row r="15" ht="44" customHeight="1">
      <c r="A15" s="23" t="inlineStr">
        <is>
          <t>A.5.19</t>
        </is>
      </c>
      <c r="B15" s="24" t="inlineStr">
        <is>
          <t>Add IS requirements to supplier contracts; create AI vendor questionnaire</t>
        </is>
      </c>
      <c r="C15" s="27" t="inlineStr">
        <is>
          <t>High</t>
        </is>
      </c>
      <c r="D15" s="23" t="inlineStr">
        <is>
          <t>Medium</t>
        </is>
      </c>
      <c r="E15" s="23" t="inlineStr">
        <is>
          <t>Month 2-3</t>
        </is>
      </c>
      <c r="F15" s="24" t="inlineStr">
        <is>
          <t>Legal / GRC</t>
        </is>
      </c>
      <c r="G15" s="26" t="inlineStr">
        <is>
          <t>Not Started</t>
        </is>
      </c>
    </row>
    <row r="16" ht="44" customHeight="1">
      <c r="A16" s="20" t="inlineStr">
        <is>
          <t>A.6.5</t>
        </is>
      </c>
      <c r="B16" s="21" t="inlineStr">
        <is>
          <t>Automate access de-provisioning on HR trigger</t>
        </is>
      </c>
      <c r="C16" s="27" t="inlineStr">
        <is>
          <t>High</t>
        </is>
      </c>
      <c r="D16" s="20" t="inlineStr">
        <is>
          <t>High</t>
        </is>
      </c>
      <c r="E16" s="20" t="inlineStr">
        <is>
          <t>Month 3</t>
        </is>
      </c>
      <c r="F16" s="21" t="inlineStr">
        <is>
          <t>IT / HR</t>
        </is>
      </c>
      <c r="G16" s="26" t="inlineStr">
        <is>
          <t>Not Started</t>
        </is>
      </c>
    </row>
    <row r="17" ht="44" customHeight="1">
      <c r="A17" s="23" t="inlineStr">
        <is>
          <t>A.8.2</t>
        </is>
      </c>
      <c r="B17" s="24" t="inlineStr">
        <is>
          <t>Implement PAM; eliminate shared admin accounts</t>
        </is>
      </c>
      <c r="C17" s="27" t="inlineStr">
        <is>
          <t>High</t>
        </is>
      </c>
      <c r="D17" s="23" t="inlineStr">
        <is>
          <t>High</t>
        </is>
      </c>
      <c r="E17" s="23" t="inlineStr">
        <is>
          <t>Month 3</t>
        </is>
      </c>
      <c r="F17" s="24" t="inlineStr">
        <is>
          <t>IT Security</t>
        </is>
      </c>
      <c r="G17" s="26" t="inlineStr">
        <is>
          <t>Not Started</t>
        </is>
      </c>
    </row>
    <row r="18" ht="44" customHeight="1">
      <c r="A18" s="20" t="inlineStr">
        <is>
          <t>A.8.8</t>
        </is>
      </c>
      <c r="B18" s="21" t="inlineStr">
        <is>
          <t>Enforce 14-day critical patch SLA; extend to AI/ML dependencies</t>
        </is>
      </c>
      <c r="C18" s="27" t="inlineStr">
        <is>
          <t>High</t>
        </is>
      </c>
      <c r="D18" s="20" t="inlineStr">
        <is>
          <t>Medium</t>
        </is>
      </c>
      <c r="E18" s="20" t="inlineStr">
        <is>
          <t>Month 3</t>
        </is>
      </c>
      <c r="F18" s="21" t="inlineStr">
        <is>
          <t>IT Operations</t>
        </is>
      </c>
      <c r="G18" s="26" t="inlineStr">
        <is>
          <t>Not Started</t>
        </is>
      </c>
    </row>
    <row r="19" ht="44" customHeight="1">
      <c r="A19" s="23" t="inlineStr">
        <is>
          <t>9.1</t>
        </is>
      </c>
      <c r="B19" s="24" t="inlineStr">
        <is>
          <t>Define IS KPIs; implement metrics dashboard</t>
        </is>
      </c>
      <c r="C19" s="27" t="inlineStr">
        <is>
          <t>High</t>
        </is>
      </c>
      <c r="D19" s="23" t="inlineStr">
        <is>
          <t>Medium</t>
        </is>
      </c>
      <c r="E19" s="23" t="inlineStr">
        <is>
          <t>Month 3</t>
        </is>
      </c>
      <c r="F19" s="24" t="inlineStr">
        <is>
          <t>GRC / CISO</t>
        </is>
      </c>
      <c r="G19" s="26" t="inlineStr">
        <is>
          <t>Not Started</t>
        </is>
      </c>
    </row>
    <row r="20" ht="44" customHeight="1">
      <c r="A20" s="20" t="inlineStr">
        <is>
          <t>9.3</t>
        </is>
      </c>
      <c r="B20" s="21" t="inlineStr">
        <is>
          <t>Schedule formal ISMS management review</t>
        </is>
      </c>
      <c r="C20" s="27" t="inlineStr">
        <is>
          <t>High</t>
        </is>
      </c>
      <c r="D20" s="20" t="inlineStr">
        <is>
          <t>Low</t>
        </is>
      </c>
      <c r="E20" s="20" t="inlineStr">
        <is>
          <t>Month 3</t>
        </is>
      </c>
      <c r="F20" s="21" t="inlineStr">
        <is>
          <t>CISO</t>
        </is>
      </c>
      <c r="G20" s="26" t="inlineStr">
        <is>
          <t>Not Started</t>
        </is>
      </c>
    </row>
    <row r="21" ht="44" customHeight="1">
      <c r="A21" s="23" t="inlineStr">
        <is>
          <t>10.2</t>
        </is>
      </c>
      <c r="B21" s="24" t="inlineStr">
        <is>
          <t>Implement nonconformity and corrective action procedure</t>
        </is>
      </c>
      <c r="C21" s="27" t="inlineStr">
        <is>
          <t>High</t>
        </is>
      </c>
      <c r="D21" s="23" t="inlineStr">
        <is>
          <t>Low</t>
        </is>
      </c>
      <c r="E21" s="23" t="inlineStr">
        <is>
          <t>Month 3</t>
        </is>
      </c>
      <c r="F21" s="24" t="inlineStr">
        <is>
          <t>GRC</t>
        </is>
      </c>
      <c r="G21" s="26" t="inlineStr">
        <is>
          <t>Not Started</t>
        </is>
      </c>
    </row>
    <row r="22" ht="44" customHeight="1">
      <c r="A22" s="20" t="inlineStr">
        <is>
          <t>5.3</t>
        </is>
      </c>
      <c r="B22" s="21" t="inlineStr">
        <is>
          <t>Document segregation of duties policy; audit admin separation</t>
        </is>
      </c>
      <c r="C22" s="28" t="inlineStr">
        <is>
          <t>Medium</t>
        </is>
      </c>
      <c r="D22" s="20" t="inlineStr">
        <is>
          <t>Medium</t>
        </is>
      </c>
      <c r="E22" s="20" t="inlineStr">
        <is>
          <t>Month 4</t>
        </is>
      </c>
      <c r="F22" s="21" t="inlineStr">
        <is>
          <t>IT Security / GRC</t>
        </is>
      </c>
      <c r="G22" s="26" t="inlineStr">
        <is>
          <t>Not Started</t>
        </is>
      </c>
    </row>
    <row r="23" ht="44" customHeight="1">
      <c r="A23" s="23" t="inlineStr">
        <is>
          <t>7.2</t>
        </is>
      </c>
      <c r="B23" s="24" t="inlineStr">
        <is>
          <t>Implement role-based security training</t>
        </is>
      </c>
      <c r="C23" s="28" t="inlineStr">
        <is>
          <t>Medium</t>
        </is>
      </c>
      <c r="D23" s="23" t="inlineStr">
        <is>
          <t>Medium</t>
        </is>
      </c>
      <c r="E23" s="23" t="inlineStr">
        <is>
          <t>Month 4</t>
        </is>
      </c>
      <c r="F23" s="24" t="inlineStr">
        <is>
          <t>HR / GRC</t>
        </is>
      </c>
      <c r="G23" s="26" t="inlineStr">
        <is>
          <t>Not Started</t>
        </is>
      </c>
    </row>
    <row r="24" ht="44" customHeight="1">
      <c r="A24" s="20" t="inlineStr">
        <is>
          <t>7.3</t>
        </is>
      </c>
      <c r="B24" s="21" t="inlineStr">
        <is>
          <t>Increase phishing simulations; add AI threat awareness</t>
        </is>
      </c>
      <c r="C24" s="28" t="inlineStr">
        <is>
          <t>Medium</t>
        </is>
      </c>
      <c r="D24" s="20" t="inlineStr">
        <is>
          <t>Low</t>
        </is>
      </c>
      <c r="E24" s="20" t="inlineStr">
        <is>
          <t>Month 4</t>
        </is>
      </c>
      <c r="F24" s="21" t="inlineStr">
        <is>
          <t>IT Security</t>
        </is>
      </c>
      <c r="G24" s="26" t="inlineStr">
        <is>
          <t>Not Started</t>
        </is>
      </c>
    </row>
    <row r="25" ht="44" customHeight="1">
      <c r="A25" s="23" t="inlineStr">
        <is>
          <t>A.8.9</t>
        </is>
      </c>
      <c r="B25" s="24" t="inlineStr">
        <is>
          <t>Implement CMDB; define configuration baselines</t>
        </is>
      </c>
      <c r="C25" s="28" t="inlineStr">
        <is>
          <t>Medium</t>
        </is>
      </c>
      <c r="D25" s="23" t="inlineStr">
        <is>
          <t>High</t>
        </is>
      </c>
      <c r="E25" s="23" t="inlineStr">
        <is>
          <t>Month 4-5</t>
        </is>
      </c>
      <c r="F25" s="24" t="inlineStr">
        <is>
          <t>IT Operations</t>
        </is>
      </c>
      <c r="G25" s="26" t="inlineStr">
        <is>
          <t>Not Started</t>
        </is>
      </c>
    </row>
    <row r="26" ht="44" customHeight="1">
      <c r="A26" s="20" t="inlineStr">
        <is>
          <t>A.5.21</t>
        </is>
      </c>
      <c r="B26" s="21" t="inlineStr">
        <is>
          <t>Implement SBOM for critical applications</t>
        </is>
      </c>
      <c r="C26" s="28" t="inlineStr">
        <is>
          <t>Medium</t>
        </is>
      </c>
      <c r="D26" s="20" t="inlineStr">
        <is>
          <t>High</t>
        </is>
      </c>
      <c r="E26" s="20" t="inlineStr">
        <is>
          <t>Month 4-5</t>
        </is>
      </c>
      <c r="F26" s="21" t="inlineStr">
        <is>
          <t>DevSecOps</t>
        </is>
      </c>
      <c r="G26" s="26" t="inlineStr">
        <is>
          <t>Not Started</t>
        </is>
      </c>
    </row>
    <row r="27" ht="44" customHeight="1">
      <c r="A27" s="23" t="inlineStr">
        <is>
          <t>A.5.34</t>
        </is>
      </c>
      <c r="B27" s="24" t="inlineStr">
        <is>
          <t>Update ROPA; conduct DPIAs for AI systems</t>
        </is>
      </c>
      <c r="C27" s="28" t="inlineStr">
        <is>
          <t>Medium</t>
        </is>
      </c>
      <c r="D27" s="23" t="inlineStr">
        <is>
          <t>Medium</t>
        </is>
      </c>
      <c r="E27" s="23" t="inlineStr">
        <is>
          <t>Month 4</t>
        </is>
      </c>
      <c r="F27" s="24" t="inlineStr">
        <is>
          <t>Privacy Officer</t>
        </is>
      </c>
      <c r="G27" s="26" t="inlineStr">
        <is>
          <t>Not Started</t>
        </is>
      </c>
    </row>
    <row r="28" ht="44" customHeight="1">
      <c r="A28" s="20" t="inlineStr">
        <is>
          <t>5.4</t>
        </is>
      </c>
      <c r="B28" s="21" t="inlineStr">
        <is>
          <t>Add IS to management meeting agenda</t>
        </is>
      </c>
      <c r="C28" s="29" t="inlineStr">
        <is>
          <t>Low</t>
        </is>
      </c>
      <c r="D28" s="20" t="inlineStr">
        <is>
          <t>Low</t>
        </is>
      </c>
      <c r="E28" s="20" t="inlineStr">
        <is>
          <t>Month 5</t>
        </is>
      </c>
      <c r="F28" s="21" t="inlineStr">
        <is>
          <t>CISO</t>
        </is>
      </c>
      <c r="G28" s="26" t="inlineStr">
        <is>
          <t>Not Started</t>
        </is>
      </c>
    </row>
    <row r="29" ht="44" customHeight="1">
      <c r="A29" s="23" t="inlineStr">
        <is>
          <t>5.6</t>
        </is>
      </c>
      <c r="B29" s="24" t="inlineStr">
        <is>
          <t>Document memberships; create threat intel sharing process</t>
        </is>
      </c>
      <c r="C29" s="29" t="inlineStr">
        <is>
          <t>Low</t>
        </is>
      </c>
      <c r="D29" s="23" t="inlineStr">
        <is>
          <t>Low</t>
        </is>
      </c>
      <c r="E29" s="23" t="inlineStr">
        <is>
          <t>Month 5</t>
        </is>
      </c>
      <c r="F29" s="24" t="inlineStr">
        <is>
          <t>CISO</t>
        </is>
      </c>
      <c r="G29" s="26" t="inlineStr">
        <is>
          <t>Not Started</t>
        </is>
      </c>
    </row>
    <row r="30" ht="44" customHeight="1">
      <c r="A30" s="20" t="inlineStr">
        <is>
          <t>7.4</t>
        </is>
      </c>
      <c r="B30" s="21" t="inlineStr">
        <is>
          <t>Develop IS communication plan</t>
        </is>
      </c>
      <c r="C30" s="29" t="inlineStr">
        <is>
          <t>Low</t>
        </is>
      </c>
      <c r="D30" s="20" t="inlineStr">
        <is>
          <t>Low</t>
        </is>
      </c>
      <c r="E30" s="20" t="inlineStr">
        <is>
          <t>Month 5</t>
        </is>
      </c>
      <c r="F30" s="21" t="inlineStr">
        <is>
          <t>GRC</t>
        </is>
      </c>
      <c r="G30" s="26" t="inlineStr">
        <is>
          <t>Not Started</t>
        </is>
      </c>
    </row>
    <row r="31" ht="44" customHeight="1">
      <c r="A31" s="23" t="inlineStr">
        <is>
          <t>10.1</t>
        </is>
      </c>
      <c r="B31" s="24" t="inlineStr">
        <is>
          <t>Implement continual improvement register</t>
        </is>
      </c>
      <c r="C31" s="29" t="inlineStr">
        <is>
          <t>Low</t>
        </is>
      </c>
      <c r="D31" s="23" t="inlineStr">
        <is>
          <t>Low</t>
        </is>
      </c>
      <c r="E31" s="23" t="inlineStr">
        <is>
          <t>Ongoing</t>
        </is>
      </c>
      <c r="F31" s="24" t="inlineStr">
        <is>
          <t>GRC</t>
        </is>
      </c>
      <c r="G31" s="26" t="inlineStr">
        <is>
          <t>Not Started</t>
        </is>
      </c>
    </row>
  </sheetData>
  <autoFilter ref="A3:G31"/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 ht="32" customHeight="1">
      <c r="A1" s="30" t="inlineStr">
        <is>
          <t>How to Use This Gap Analysis</t>
        </is>
      </c>
    </row>
    <row r="3" ht="52" customHeight="1">
      <c r="A3" s="31" t="inlineStr">
        <is>
          <t>PURPOSE</t>
        </is>
      </c>
      <c r="B3" s="15" t="inlineStr">
        <is>
          <t>This gap analysis assesses a fictional organisation's information security controls against ISO/IEC 27001:2022 requirements. It is designed as a GRC portfolio project demonstrating audit, compliance, and risk management competency.</t>
        </is>
      </c>
    </row>
    <row r="4" ht="52" customHeight="1">
      <c r="A4" s="32" t="inlineStr">
        <is>
          <t>COMPLIANCE STATUS</t>
        </is>
      </c>
      <c r="B4" s="14" t="inlineStr">
        <is>
          <t>Compliant = control fully implemented with evidence | Partial = partially implemented, gaps exist | Non-Compliant = control absent or significantly deficient | Not Applicable = control not relevant to scope</t>
        </is>
      </c>
    </row>
    <row r="5" ht="52" customHeight="1">
      <c r="A5" s="31" t="inlineStr">
        <is>
          <t>PRIORITY</t>
        </is>
      </c>
      <c r="B5" s="15" t="inlineStr">
        <is>
          <t>Critical = fundamental ISMS requirement, address immediately | High = significant risk exposure | Medium = important but not urgent | Low = best practice improvement</t>
        </is>
      </c>
    </row>
    <row r="6" ht="52" customHeight="1">
      <c r="A6" s="32" t="inlineStr">
        <is>
          <t>EFFORT</t>
        </is>
      </c>
      <c r="B6" s="14" t="inlineStr">
        <is>
          <t>Low = &lt;1 week | Medium = 1-4 weeks | High = &gt;1 month</t>
        </is>
      </c>
    </row>
    <row r="7" ht="52" customHeight="1">
      <c r="A7" s="31" t="inlineStr">
        <is>
          <t>USING THE ROADMAP</t>
        </is>
      </c>
      <c r="B7" s="15" t="inlineStr">
        <is>
          <t>The Remediation Roadmap sheet prioritises actions into 5 monthly phases. Update the Status column as actions are completed. Critical and High priority items should be addressed in Months 1-3.</t>
        </is>
      </c>
    </row>
    <row r="8" ht="52" customHeight="1">
      <c r="A8" s="32" t="inlineStr">
        <is>
          <t>EVIDENCE COLLECTION</t>
        </is>
      </c>
      <c r="B8" s="14" t="inlineStr">
        <is>
          <t>The Evidence Required column lists what an auditor would expect to see for each control. This is what you would collect during a real ISO 27001 audit to demonstrate compliance.</t>
        </is>
      </c>
    </row>
    <row r="9" ht="52" customHeight="1">
      <c r="A9" s="31" t="inlineStr">
        <is>
          <t>PORTFOLIO USE</t>
        </is>
      </c>
      <c r="B9" s="15" t="inlineStr">
        <is>
          <t>This document demonstrates: (1) ISO 27001:2022 Annex A knowledge (2) Gap analysis methodology (3) Audit thinking and evidence requirements (4) Remediation planning skills (5) GRC documentation standards.</t>
        </is>
      </c>
    </row>
    <row r="10" ht="52" customHeight="1">
      <c r="A10" s="32" t="inlineStr">
        <is>
          <t>INTERVIEW TIPS</t>
        </is>
      </c>
      <c r="B10" s="14" t="inlineStr">
        <is>
          <t>Be prepared to discuss: why you scored each control the way you did, what evidence you would look for, and how you would prioritise remediation given limited resources.</t>
        </is>
      </c>
    </row>
    <row r="11" ht="52" customHeight="1">
      <c r="A11" s="31" t="inlineStr">
        <is>
          <t>DISCLAIMER</t>
        </is>
      </c>
      <c r="B11" s="15" t="inlineStr">
        <is>
          <t>This is a fictional scenario created for portfolio purposes. The organisation, findings, and scores are illustrative only.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2026-06-06T00:28:40Z</dcterms:created>
  <dcterms:modified xmlns:dcterms="http://purl.org/dc/terms/" xmlns:xsi="http://www.w3.org/2001/XMLSchema-instance" xsi:type="dcterms:W3CDTF">2026-06-06T00:33:59Z</dcterms:modified>
</cp:coreProperties>
</file>